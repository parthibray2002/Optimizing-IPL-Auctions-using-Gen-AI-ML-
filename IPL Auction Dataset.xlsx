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IB RAY\Documents\"/>
    </mc:Choice>
  </mc:AlternateContent>
  <xr:revisionPtr revIDLastSave="0" documentId="13_ncr:1_{F39C23C0-744A-4355-AB25-AD0CD58A9E5B}" xr6:coauthVersionLast="47" xr6:coauthVersionMax="47" xr10:uidLastSave="{00000000-0000-0000-0000-000000000000}"/>
  <bookViews>
    <workbookView xWindow="-108" yWindow="-108" windowWidth="23256" windowHeight="12456" activeTab="1" xr2:uid="{6575F2AE-D369-4ED5-8FDF-4308058454A7}"/>
  </bookViews>
  <sheets>
    <sheet name="Player_Names" sheetId="1" r:id="rId1"/>
    <sheet name="Batsmen" sheetId="2" r:id="rId2"/>
    <sheet name="Bowlers" sheetId="5" r:id="rId3"/>
    <sheet name="Wicketkeepers" sheetId="6" r:id="rId4"/>
    <sheet name="All Rounders" sheetId="4" r:id="rId5"/>
  </sheets>
  <definedNames>
    <definedName name="_xlnm._FilterDatabase" localSheetId="4" hidden="1">'All Rounders'!$A$1:$Z$75</definedName>
    <definedName name="_xlnm._FilterDatabase" localSheetId="1" hidden="1">Batsmen!$O$1:$O$37</definedName>
    <definedName name="_xlnm._FilterDatabase" localSheetId="2" hidden="1">Bowlers!$A$1:$Q$28</definedName>
    <definedName name="_xlnm._FilterDatabase" localSheetId="0" hidden="1">Player_Names!$D$1:$D$1023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4" l="1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28" i="4"/>
  <c r="G28" i="4"/>
  <c r="S27" i="4"/>
  <c r="G27" i="4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3" i="6"/>
  <c r="G34" i="6"/>
  <c r="G32" i="6"/>
  <c r="G31" i="6"/>
  <c r="G30" i="6"/>
  <c r="G29" i="6"/>
  <c r="G28" i="6"/>
  <c r="G27" i="6"/>
  <c r="G26" i="6"/>
  <c r="G25" i="6"/>
  <c r="G24" i="6"/>
  <c r="G23" i="6"/>
  <c r="G58" i="6"/>
  <c r="G56" i="6"/>
  <c r="G57" i="6"/>
  <c r="G55" i="6"/>
  <c r="G100" i="5"/>
  <c r="G73" i="5"/>
  <c r="G65" i="5"/>
  <c r="G66" i="5"/>
  <c r="G67" i="5"/>
  <c r="G68" i="5"/>
  <c r="G69" i="5"/>
  <c r="G70" i="5"/>
  <c r="G71" i="5"/>
  <c r="G72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1" i="5"/>
  <c r="G102" i="5"/>
  <c r="G103" i="5"/>
  <c r="G104" i="5"/>
  <c r="G105" i="5"/>
  <c r="G106" i="5"/>
  <c r="G107" i="5"/>
  <c r="G108" i="5"/>
  <c r="G64" i="5"/>
  <c r="G63" i="5"/>
  <c r="G59" i="5"/>
  <c r="G52" i="5"/>
  <c r="G53" i="5"/>
  <c r="G54" i="5"/>
  <c r="G55" i="5"/>
  <c r="G56" i="5"/>
  <c r="G57" i="5"/>
  <c r="G58" i="5"/>
  <c r="G60" i="5"/>
  <c r="G61" i="5"/>
  <c r="G62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31" i="5"/>
</calcChain>
</file>

<file path=xl/sharedStrings.xml><?xml version="1.0" encoding="utf-8"?>
<sst xmlns="http://schemas.openxmlformats.org/spreadsheetml/2006/main" count="5814" uniqueCount="1021">
  <si>
    <t>No</t>
  </si>
  <si>
    <t>Player</t>
  </si>
  <si>
    <t>Category</t>
  </si>
  <si>
    <t>Virat Kohli</t>
  </si>
  <si>
    <t>International</t>
  </si>
  <si>
    <t>Rohit Sharma</t>
  </si>
  <si>
    <t>Shubman Gill</t>
  </si>
  <si>
    <t>KL Rahul</t>
  </si>
  <si>
    <t>Rishabh Pant</t>
  </si>
  <si>
    <t>Suryakumar Yadav</t>
  </si>
  <si>
    <t>Shreyas Iyer</t>
  </si>
  <si>
    <t>Yashasvi Jaiswal</t>
  </si>
  <si>
    <t>Ishan Kishan</t>
  </si>
  <si>
    <t>Ravindra Jadeja</t>
  </si>
  <si>
    <t>Hardik Pandya</t>
  </si>
  <si>
    <t>Axar Patel</t>
  </si>
  <si>
    <t>Sanju Samson</t>
  </si>
  <si>
    <t>Ruturaj Gaikwad</t>
  </si>
  <si>
    <t>Tilak Varma</t>
  </si>
  <si>
    <t>Sai Sudharsan</t>
  </si>
  <si>
    <t>Devdutt Padikkal</t>
  </si>
  <si>
    <t>Rajat Patidar</t>
  </si>
  <si>
    <t>Nitish Rana</t>
  </si>
  <si>
    <t>Abhishek Sharma</t>
  </si>
  <si>
    <t>Rahul Tripathi</t>
  </si>
  <si>
    <t>Shivam Dube</t>
  </si>
  <si>
    <t>Riyan Parag</t>
  </si>
  <si>
    <t>Shahrukh Khan</t>
  </si>
  <si>
    <t>Anuj Rawat</t>
  </si>
  <si>
    <t>Nehal Wadhera</t>
  </si>
  <si>
    <t>Ayush Badoni</t>
  </si>
  <si>
    <t>Venkatesh Iyer</t>
  </si>
  <si>
    <t>Mayank Agarwal</t>
  </si>
  <si>
    <t>Manish Pandey</t>
  </si>
  <si>
    <t>Rinku Singh</t>
  </si>
  <si>
    <t>Prithvi Shaw</t>
  </si>
  <si>
    <t>Deepak Hooda</t>
  </si>
  <si>
    <t>Washington Sundar</t>
  </si>
  <si>
    <t>Rahul Tewatia</t>
  </si>
  <si>
    <t>Sarfaraz Khan</t>
  </si>
  <si>
    <t>Domestic Regular</t>
  </si>
  <si>
    <t>Yash Dhull</t>
  </si>
  <si>
    <t>Sameer Rizvi</t>
  </si>
  <si>
    <t>Naman Dhir</t>
  </si>
  <si>
    <t>Angkrish Raghuvanshi</t>
  </si>
  <si>
    <t>Priyam Garg</t>
  </si>
  <si>
    <t>Abhinav Manohar</t>
  </si>
  <si>
    <t>Dhruv Jurel</t>
  </si>
  <si>
    <t>KS Bharat</t>
  </si>
  <si>
    <t>Baba Indrajith</t>
  </si>
  <si>
    <t>Ricky Bhui</t>
  </si>
  <si>
    <t>Harpreet Singh Bhatia</t>
  </si>
  <si>
    <t>Shashank Singh</t>
  </si>
  <si>
    <t>Tanmay Agarwal</t>
  </si>
  <si>
    <t>R Samarth</t>
  </si>
  <si>
    <t>Akshay Wadkar</t>
  </si>
  <si>
    <t>Suyash Prabhudessai</t>
  </si>
  <si>
    <t>Kshitiz Sharma</t>
  </si>
  <si>
    <t>Siddhesh Lad</t>
  </si>
  <si>
    <t>Virat Singh</t>
  </si>
  <si>
    <t>Abhishek Porel</t>
  </si>
  <si>
    <t>Dhruv Shorey</t>
  </si>
  <si>
    <t>Jalaj Saxena</t>
  </si>
  <si>
    <t>Abhimanyu Easwaran</t>
  </si>
  <si>
    <t>Priyank Panchal</t>
  </si>
  <si>
    <t>Karun Nair</t>
  </si>
  <si>
    <t>Cheteshwar Pujara</t>
  </si>
  <si>
    <t>Hanuma Vihari</t>
  </si>
  <si>
    <t>Faiz Fazal</t>
  </si>
  <si>
    <t>Anmolpreet Singh</t>
  </si>
  <si>
    <t>Country</t>
  </si>
  <si>
    <t>India</t>
  </si>
  <si>
    <t>Musheer Khan</t>
  </si>
  <si>
    <t>Emerging Domestic</t>
  </si>
  <si>
    <t>Arshin Kulkarni</t>
  </si>
  <si>
    <t>Nishant Sindhu</t>
  </si>
  <si>
    <t>Shaik Rasheed</t>
  </si>
  <si>
    <t>Kumar Kushagra</t>
  </si>
  <si>
    <t>Aarya Desai</t>
  </si>
  <si>
    <t>Pradosh Ranjan Paul</t>
  </si>
  <si>
    <t>Shubham Dubey</t>
  </si>
  <si>
    <t>Piyush Bishnoi</t>
  </si>
  <si>
    <t>Vansh Bajaj</t>
  </si>
  <si>
    <t>Rahul Dalal</t>
  </si>
  <si>
    <t>Mohit Awasthi</t>
  </si>
  <si>
    <t>Tejas Baroka</t>
  </si>
  <si>
    <t>Harshit Rana</t>
  </si>
  <si>
    <t>Rajvardhan Hangargekar</t>
  </si>
  <si>
    <t>Prabhsimran Singh</t>
  </si>
  <si>
    <t>Aryan Juyal</t>
  </si>
  <si>
    <t>Vishnu Vinod</t>
  </si>
  <si>
    <t>Upendra Yadav</t>
  </si>
  <si>
    <t>Pawan Shah</t>
  </si>
  <si>
    <t>Shubham Sharma</t>
  </si>
  <si>
    <t>Saurabh Tiwary</t>
  </si>
  <si>
    <t>Manan Vohra</t>
  </si>
  <si>
    <t>Prerak Mankad</t>
  </si>
  <si>
    <t>Abhiraj Singh</t>
  </si>
  <si>
    <t>Dipesh Reddy</t>
  </si>
  <si>
    <t>Om Prakash Singh</t>
  </si>
  <si>
    <t>Tanush Kotian</t>
  </si>
  <si>
    <t>Swapnil Singh</t>
  </si>
  <si>
    <t>Harpreet Brar</t>
  </si>
  <si>
    <t>Jitesh Sharma</t>
  </si>
  <si>
    <t>Akash Singh</t>
  </si>
  <si>
    <t>Rahul Chahar</t>
  </si>
  <si>
    <t>Shreyas Gopal</t>
  </si>
  <si>
    <t>Shubham Gill</t>
  </si>
  <si>
    <t>Domestic</t>
  </si>
  <si>
    <t>Role</t>
  </si>
  <si>
    <t>Batsman</t>
  </si>
  <si>
    <t>Joe Root</t>
  </si>
  <si>
    <t>Ben Stokes</t>
  </si>
  <si>
    <t>Jos Buttler</t>
  </si>
  <si>
    <t>Jonny Bairstow</t>
  </si>
  <si>
    <t>Dawid Malan</t>
  </si>
  <si>
    <t>Zak Crawley</t>
  </si>
  <si>
    <t>Ben Duckett</t>
  </si>
  <si>
    <t>Ollie Pope</t>
  </si>
  <si>
    <t>Harry Brook</t>
  </si>
  <si>
    <t>Phil Salt</t>
  </si>
  <si>
    <t>Liam Livingstone</t>
  </si>
  <si>
    <t>Jason Roy</t>
  </si>
  <si>
    <t>Moeen Ali</t>
  </si>
  <si>
    <t>Sam Curran</t>
  </si>
  <si>
    <t>Will Jacks</t>
  </si>
  <si>
    <t>Alex Hales</t>
  </si>
  <si>
    <t>IPL/T20 Core</t>
  </si>
  <si>
    <t>Tom Banton</t>
  </si>
  <si>
    <t>Sam Hain</t>
  </si>
  <si>
    <t>County Regular</t>
  </si>
  <si>
    <t>Jordan Cox</t>
  </si>
  <si>
    <t>Dan Lawrence</t>
  </si>
  <si>
    <t>James Vince</t>
  </si>
  <si>
    <t>Tom Kohler-Cadmore</t>
  </si>
  <si>
    <t>Max Holden</t>
  </si>
  <si>
    <t>Ben Foakes</t>
  </si>
  <si>
    <t>Tom Abell</t>
  </si>
  <si>
    <t>Luke Wells</t>
  </si>
  <si>
    <t>James Rew</t>
  </si>
  <si>
    <t>Emilio Gay</t>
  </si>
  <si>
    <t>George Scrimshaw</t>
  </si>
  <si>
    <t>Ben Charlesworth</t>
  </si>
  <si>
    <t>David Bedingham</t>
  </si>
  <si>
    <t>Matt Critchley</t>
  </si>
  <si>
    <t>Adam Lyth</t>
  </si>
  <si>
    <t>Rory Burns</t>
  </si>
  <si>
    <t>Dom Sibley</t>
  </si>
  <si>
    <t>Keaton Jennings</t>
  </si>
  <si>
    <t>Ollie Robinson (bats lower)</t>
  </si>
  <si>
    <t>Tom Lammonby</t>
  </si>
  <si>
    <t>Nick Browne</t>
  </si>
  <si>
    <t>Ben Slater</t>
  </si>
  <si>
    <t>Haseeb Hameed</t>
  </si>
  <si>
    <t>Rob Yates</t>
  </si>
  <si>
    <t>James Bracey</t>
  </si>
  <si>
    <t>Sam Northeast</t>
  </si>
  <si>
    <t>Wayne Madsen</t>
  </si>
  <si>
    <t>Sam Billings</t>
  </si>
  <si>
    <t>Laurie Evans</t>
  </si>
  <si>
    <t>Joe Clarke</t>
  </si>
  <si>
    <t>Dan Mousley</t>
  </si>
  <si>
    <t>George Balderson</t>
  </si>
  <si>
    <t>Jack Haynes</t>
  </si>
  <si>
    <t>Jamie Smith</t>
  </si>
  <si>
    <t>Will Smeed</t>
  </si>
  <si>
    <t>Harry Finch</t>
  </si>
  <si>
    <t>Chris Dent</t>
  </si>
  <si>
    <t>Lewis Goldsworthy</t>
  </si>
  <si>
    <t>George Hill</t>
  </si>
  <si>
    <t>Jordan Thompson</t>
  </si>
  <si>
    <t>David Lloyd</t>
  </si>
  <si>
    <t>Tom Westley</t>
  </si>
  <si>
    <t>Tom Haines</t>
  </si>
  <si>
    <t>Henry Brookes</t>
  </si>
  <si>
    <t>Alex Davies</t>
  </si>
  <si>
    <t>Ben Raine</t>
  </si>
  <si>
    <t>Stephen Eskinazi</t>
  </si>
  <si>
    <t>Ollie Price</t>
  </si>
  <si>
    <t>Matthew Revis</t>
  </si>
  <si>
    <t>Ben Green</t>
  </si>
  <si>
    <t>Tom Prest</t>
  </si>
  <si>
    <t>Jacob Bethell</t>
  </si>
  <si>
    <t>Harry Duke</t>
  </si>
  <si>
    <t>Tom Alsop</t>
  </si>
  <si>
    <t>Nick Gubbins</t>
  </si>
  <si>
    <t>Sam Robson</t>
  </si>
  <si>
    <t>Dan Bell-Drummond</t>
  </si>
  <si>
    <t>James Coles</t>
  </si>
  <si>
    <t>Ollie Robinson (Durham)</t>
  </si>
  <si>
    <t>Ben Compton</t>
  </si>
  <si>
    <t>Alex Lees</t>
  </si>
  <si>
    <t>Luke Procter</t>
  </si>
  <si>
    <t>Fynn Hudson-Prentice</t>
  </si>
  <si>
    <t>George Bartlett</t>
  </si>
  <si>
    <t>Dom Bess (batting AR)</t>
  </si>
  <si>
    <t>Josh Bohannon</t>
  </si>
  <si>
    <t>Will Rhodes</t>
  </si>
  <si>
    <t>Ed Pollock</t>
  </si>
  <si>
    <t>Miles Hammond</t>
  </si>
  <si>
    <t>Chris Benjamin</t>
  </si>
  <si>
    <t>Ben Geddes</t>
  </si>
  <si>
    <t>Alex Blake</t>
  </si>
  <si>
    <t>Harry Swindells</t>
  </si>
  <si>
    <t>Joe Weatherley</t>
  </si>
  <si>
    <t>Ben Cox</t>
  </si>
  <si>
    <t>Michael-Kyle Pepper</t>
  </si>
  <si>
    <t>Graham Clark</t>
  </si>
  <si>
    <t>England</t>
  </si>
  <si>
    <t>'</t>
  </si>
  <si>
    <t>Steve Smith</t>
  </si>
  <si>
    <t>David Warner</t>
  </si>
  <si>
    <t>Marnus Labuschagne</t>
  </si>
  <si>
    <t>Travis Head</t>
  </si>
  <si>
    <t>Glenn Maxwell</t>
  </si>
  <si>
    <t>Mitchell Marsh</t>
  </si>
  <si>
    <t>Cameron Green</t>
  </si>
  <si>
    <t>Usman Khawaja</t>
  </si>
  <si>
    <t>Alex Carey</t>
  </si>
  <si>
    <t>Josh Inglis</t>
  </si>
  <si>
    <t>Marcus Stoinis</t>
  </si>
  <si>
    <t>Matthew Wade</t>
  </si>
  <si>
    <t>Aaron Finch</t>
  </si>
  <si>
    <t>Shaun Marsh</t>
  </si>
  <si>
    <t>BBL Core</t>
  </si>
  <si>
    <t>Peter Handscomb</t>
  </si>
  <si>
    <t>Tim David</t>
  </si>
  <si>
    <t>Ben McDermott</t>
  </si>
  <si>
    <t>Matt Renshaw</t>
  </si>
  <si>
    <t>Will Pucovski</t>
  </si>
  <si>
    <t>Jake Fraser-McGurk</t>
  </si>
  <si>
    <t>Nathan McSweeney</t>
  </si>
  <si>
    <t>Caleb Jewell</t>
  </si>
  <si>
    <t>Sheffield Shield Regular</t>
  </si>
  <si>
    <t>Bryce Street</t>
  </si>
  <si>
    <t>Jason Sangha</t>
  </si>
  <si>
    <t>Kurtis Patterson</t>
  </si>
  <si>
    <t>Jack Edwards</t>
  </si>
  <si>
    <t>Beau Webster</t>
  </si>
  <si>
    <t>Aaron Hardie</t>
  </si>
  <si>
    <t>Daniel Sams</t>
  </si>
  <si>
    <t>Sean Abbott</t>
  </si>
  <si>
    <t>Michael Neser</t>
  </si>
  <si>
    <t>Henry Hunt</t>
  </si>
  <si>
    <t>Nic Maddinson</t>
  </si>
  <si>
    <t>Sam Whiteman</t>
  </si>
  <si>
    <t>Hilton Cartwright</t>
  </si>
  <si>
    <t>Ashton Turner</t>
  </si>
  <si>
    <t>Moises Henriques</t>
  </si>
  <si>
    <t>Josh Philippe</t>
  </si>
  <si>
    <t>Mitchell Owen</t>
  </si>
  <si>
    <t>Cooper Connolly</t>
  </si>
  <si>
    <t>Matt Short</t>
  </si>
  <si>
    <t>Campbell Kellaway</t>
  </si>
  <si>
    <t>Ollie Davies</t>
  </si>
  <si>
    <t>Jack Clayton</t>
  </si>
  <si>
    <t>Teague Wyllie</t>
  </si>
  <si>
    <t>Tom Rogers</t>
  </si>
  <si>
    <t>Daniel Hughes</t>
  </si>
  <si>
    <t>Chris Lynn</t>
  </si>
  <si>
    <t>Jordan Silk</t>
  </si>
  <si>
    <t>Sam Heazlett</t>
  </si>
  <si>
    <t>Jimmy Peirson</t>
  </si>
  <si>
    <t>Ben Dunk</t>
  </si>
  <si>
    <t>Jake Doran</t>
  </si>
  <si>
    <t>Ryan Gibson</t>
  </si>
  <si>
    <t>Jonathan Wells</t>
  </si>
  <si>
    <t>Mackenzie Harvey</t>
  </si>
  <si>
    <t>Harry Nielsen</t>
  </si>
  <si>
    <t>Sam Harper</t>
  </si>
  <si>
    <t>Tom Cooper</t>
  </si>
  <si>
    <t>Will Sutherland (batting AR role)</t>
  </si>
  <si>
    <t>Matthew Gilkes</t>
  </si>
  <si>
    <t>Joe Burns</t>
  </si>
  <si>
    <t>Callum Ferguson</t>
  </si>
  <si>
    <t>Alex Ross</t>
  </si>
  <si>
    <t>Liam Scott</t>
  </si>
  <si>
    <t>Jack Prestwidge</t>
  </si>
  <si>
    <t>Peter Nevill</t>
  </si>
  <si>
    <t>Max Bryant</t>
  </si>
  <si>
    <t>Jake Weatherald</t>
  </si>
  <si>
    <t>Will Bosisto</t>
  </si>
  <si>
    <t>Nick Larkin</t>
  </si>
  <si>
    <t>Travis Dean</t>
  </si>
  <si>
    <t>Daniel Solway</t>
  </si>
  <si>
    <t>Jake Carder</t>
  </si>
  <si>
    <t>Jake Lehmann</t>
  </si>
  <si>
    <t>Sam Fanning</t>
  </si>
  <si>
    <t>Harry Conway (batting lower order)</t>
  </si>
  <si>
    <t>Tim Ward</t>
  </si>
  <si>
    <t>Sam Truloff</t>
  </si>
  <si>
    <t>Ryan Hackney</t>
  </si>
  <si>
    <t>Nathan McAndrew (batting AR)</t>
  </si>
  <si>
    <t>Michael Hogan</t>
  </si>
  <si>
    <t>Wes Agar (batting role minor)</t>
  </si>
  <si>
    <t>Jackson Bird (batting minor)</t>
  </si>
  <si>
    <t>Billy Stanlake (batting minor)</t>
  </si>
  <si>
    <t>Riley Meredith (batting minor)</t>
  </si>
  <si>
    <t>Tanveer Sangha (batting minor)</t>
  </si>
  <si>
    <t>Spencer Johnson (batting minor)</t>
  </si>
  <si>
    <t>Australia</t>
  </si>
  <si>
    <t>Aiden Markram</t>
  </si>
  <si>
    <t>Temba Bavuma</t>
  </si>
  <si>
    <t>Rassie van der Dussen</t>
  </si>
  <si>
    <t>David Miller</t>
  </si>
  <si>
    <t>Quinton de Kock</t>
  </si>
  <si>
    <t>Reeza Hendricks</t>
  </si>
  <si>
    <t>Heinrich Klaasen</t>
  </si>
  <si>
    <t>Tristan Stubbs</t>
  </si>
  <si>
    <t>Tony de Zorzi</t>
  </si>
  <si>
    <t>Ryan Rickelton</t>
  </si>
  <si>
    <t>Kyle Verreynne</t>
  </si>
  <si>
    <t>Marco Jansen (batting AR role)</t>
  </si>
  <si>
    <t>Andile Phehlukwayo (batting AR)</t>
  </si>
  <si>
    <t>Tabraiz Shamsi (lower-order bat)</t>
  </si>
  <si>
    <t>Wiaan Mulder</t>
  </si>
  <si>
    <t>Rilee Rossouw</t>
  </si>
  <si>
    <t>SA20 Core</t>
  </si>
  <si>
    <t>JJ Smuts</t>
  </si>
  <si>
    <t>Sarel Erwee</t>
  </si>
  <si>
    <t>Pieter Malan</t>
  </si>
  <si>
    <t>Zubayr Hamza</t>
  </si>
  <si>
    <t>Keegan Petersen</t>
  </si>
  <si>
    <t>Matthew Breetzke</t>
  </si>
  <si>
    <t>Dewald Brevis</t>
  </si>
  <si>
    <t>Donovan Ferreira</t>
  </si>
  <si>
    <t>Janneman Malan</t>
  </si>
  <si>
    <t>Grant Roelofsen</t>
  </si>
  <si>
    <t>Khaya Zondo</t>
  </si>
  <si>
    <t>George Linde (batting AR)</t>
  </si>
  <si>
    <t>Jason Smith</t>
  </si>
  <si>
    <t>Raynard van Tonder</t>
  </si>
  <si>
    <t>Lesiba Ngoepe</t>
  </si>
  <si>
    <t>Garnett Tarr</t>
  </si>
  <si>
    <t>Marques Ackerman</t>
  </si>
  <si>
    <t>Petrus van Biljon</t>
  </si>
  <si>
    <t>Yaseen Valli</t>
  </si>
  <si>
    <t>Bjorn Fortuin (batting AR)</t>
  </si>
  <si>
    <t>Clyde Fortuin</t>
  </si>
  <si>
    <t>Dominic Hendricks</t>
  </si>
  <si>
    <t>Rivaldo Moonsamy</t>
  </si>
  <si>
    <t>Sinethemba Qeshile</t>
  </si>
  <si>
    <t>Migael Pretorius (batting AR)</t>
  </si>
  <si>
    <t>Lhuan-dre Pretorius</t>
  </si>
  <si>
    <t>Neil Brand</t>
  </si>
  <si>
    <t>Jean du Plessis</t>
  </si>
  <si>
    <t>Tshepang Dithole</t>
  </si>
  <si>
    <t>Andries Gous</t>
  </si>
  <si>
    <t>Delano Potgieter (batting AR)</t>
  </si>
  <si>
    <t>Sean Williams (SA leagues)</t>
  </si>
  <si>
    <t>Wandile Makwetu</t>
  </si>
  <si>
    <t>Hlomla Hanabe</t>
  </si>
  <si>
    <t>Joshua Richards</t>
  </si>
  <si>
    <t>Obus Pienaar</t>
  </si>
  <si>
    <t>Ruan de Swardt</t>
  </si>
  <si>
    <t>Hardus Viljoen (batting AR)</t>
  </si>
  <si>
    <t>Jiveshan Pillay</t>
  </si>
  <si>
    <t>Andile Mokgakane</t>
  </si>
  <si>
    <t>Thando Ntini</t>
  </si>
  <si>
    <t>Bryce Parsons</t>
  </si>
  <si>
    <t>Gihahn Cloete</t>
  </si>
  <si>
    <t>Jordan Hermann</t>
  </si>
  <si>
    <t>Evan Jones</t>
  </si>
  <si>
    <t>Ruan Terblanche</t>
  </si>
  <si>
    <t>Mitchell van Buuren</t>
  </si>
  <si>
    <t>Dian Forrester</t>
  </si>
  <si>
    <t>Rubin Hermann</t>
  </si>
  <si>
    <t>Eathan Bosch (batting AR)</t>
  </si>
  <si>
    <t>Beyers Swanepoel</t>
  </si>
  <si>
    <t>Cody Yusuf</t>
  </si>
  <si>
    <t>Andile Simelane</t>
  </si>
  <si>
    <t>Tshepo Moreki</t>
  </si>
  <si>
    <t>Nqaba Peter</t>
  </si>
  <si>
    <t>Jordan Cook</t>
  </si>
  <si>
    <t>Luke Beaufort</t>
  </si>
  <si>
    <t>Jason Niemand</t>
  </si>
  <si>
    <t>Lesego Senokwane</t>
  </si>
  <si>
    <t>Ziyaad Abrahams</t>
  </si>
  <si>
    <t>Glover Hossain</t>
  </si>
  <si>
    <t>Jean-Claude Synman</t>
  </si>
  <si>
    <t>Mihlali Mpongwana</t>
  </si>
  <si>
    <t>Lutho Sipamla (batting AR)</t>
  </si>
  <si>
    <t>Connor Esterhuizen</t>
  </si>
  <si>
    <t>Calvin Savage</t>
  </si>
  <si>
    <t>Duan Jansen (batting AR)</t>
  </si>
  <si>
    <t>Emer</t>
  </si>
  <si>
    <t>Wihan Lubbe</t>
  </si>
  <si>
    <t>South Africa</t>
  </si>
  <si>
    <t>Kane Williamson</t>
  </si>
  <si>
    <t>Devon Conway</t>
  </si>
  <si>
    <t>Daryl Mitchell</t>
  </si>
  <si>
    <t>Tom Latham</t>
  </si>
  <si>
    <t>Finn Allen</t>
  </si>
  <si>
    <t>Glenn Phillips</t>
  </si>
  <si>
    <t>Rachin Ravindra</t>
  </si>
  <si>
    <t>Mark Chapman</t>
  </si>
  <si>
    <t>James Neesham (batting AR role)</t>
  </si>
  <si>
    <t>Mitchell Santner (batting AR role)</t>
  </si>
  <si>
    <t>Will Young</t>
  </si>
  <si>
    <t>Henry Nicholls</t>
  </si>
  <si>
    <t>Tim Seifert</t>
  </si>
  <si>
    <t>Martin Guptill</t>
  </si>
  <si>
    <t>Franchise Core</t>
  </si>
  <si>
    <t>Colin Munro</t>
  </si>
  <si>
    <t>Michael Bracewell</t>
  </si>
  <si>
    <t>Jimmy Neesham</t>
  </si>
  <si>
    <t>Cole McConchie</t>
  </si>
  <si>
    <t>Dean Foxcroft</t>
  </si>
  <si>
    <t>Tom Blundell</t>
  </si>
  <si>
    <t>Dane Cleaver</t>
  </si>
  <si>
    <t>Robert O'Donnell</t>
  </si>
  <si>
    <t>Jeet Raval</t>
  </si>
  <si>
    <t>Chad Bowes</t>
  </si>
  <si>
    <t>Tom Bruce</t>
  </si>
  <si>
    <t>Nick Kelly</t>
  </si>
  <si>
    <t>Hamish Rutherford</t>
  </si>
  <si>
    <t>George Worker</t>
  </si>
  <si>
    <t>Henry Cooper</t>
  </si>
  <si>
    <t>Tim Robinson</t>
  </si>
  <si>
    <t>Josh Clarkson (batting AR role)</t>
  </si>
  <si>
    <t>Muhammad Abbas</t>
  </si>
  <si>
    <t>Bevon Jacobs</t>
  </si>
  <si>
    <t>Dale Phillips</t>
  </si>
  <si>
    <t>Mitchell Hay</t>
  </si>
  <si>
    <t>Rhys Mariu</t>
  </si>
  <si>
    <t>Luke Georgeson</t>
  </si>
  <si>
    <t>Sean Solia</t>
  </si>
  <si>
    <t>Matthew Boyle</t>
  </si>
  <si>
    <t>Peter Younghusband</t>
  </si>
  <si>
    <t>Jayden Lennox</t>
  </si>
  <si>
    <t>Cam Fletcher</t>
  </si>
  <si>
    <t>Robbie O'Donnell</t>
  </si>
  <si>
    <t>Bharat Popli</t>
  </si>
  <si>
    <t>New  Zealand</t>
  </si>
  <si>
    <t>Shai Hope</t>
  </si>
  <si>
    <t>Nicholas Pooran</t>
  </si>
  <si>
    <t>Rovman Powell</t>
  </si>
  <si>
    <t>Brandon King</t>
  </si>
  <si>
    <t>Johnson Charles</t>
  </si>
  <si>
    <t>Kyle Mayers</t>
  </si>
  <si>
    <t>Shimron Hetmyer</t>
  </si>
  <si>
    <t>Alick Athanaze</t>
  </si>
  <si>
    <t>Kraigg Brathwaite</t>
  </si>
  <si>
    <t>Jermaine Blackwood</t>
  </si>
  <si>
    <t>Joshua Da Silva</t>
  </si>
  <si>
    <t>Tagenarine Chanderpaul</t>
  </si>
  <si>
    <t>Keacy Carty</t>
  </si>
  <si>
    <t>Kieron Pollard</t>
  </si>
  <si>
    <t>Evin Lewis</t>
  </si>
  <si>
    <t>Darren Bravo</t>
  </si>
  <si>
    <t>Sunil Ambris</t>
  </si>
  <si>
    <t>Nkrumah Bonner</t>
  </si>
  <si>
    <t>Devon Thomas</t>
  </si>
  <si>
    <t>Kirk McKenzie</t>
  </si>
  <si>
    <t>Teddy Bishop</t>
  </si>
  <si>
    <t>Leonardo Julien</t>
  </si>
  <si>
    <t>Sherfane Rutherford</t>
  </si>
  <si>
    <t>Shamarh Brooks</t>
  </si>
  <si>
    <t>Chris Gayle</t>
  </si>
  <si>
    <t>Andre Fletcher</t>
  </si>
  <si>
    <t>Kadeem Alleyne</t>
  </si>
  <si>
    <t>Joshua Bishop</t>
  </si>
  <si>
    <t>Jordan Johnson</t>
  </si>
  <si>
    <t>Kevlon Anderson</t>
  </si>
  <si>
    <t>Jyd Goolie</t>
  </si>
  <si>
    <t>Keon Harding</t>
  </si>
  <si>
    <t>Yannic Cariah</t>
  </si>
  <si>
    <t>Raymon Reifer</t>
  </si>
  <si>
    <t>Roston Chase</t>
  </si>
  <si>
    <t>Jason Holder</t>
  </si>
  <si>
    <t>Andre Russell</t>
  </si>
  <si>
    <t>Odean Smith</t>
  </si>
  <si>
    <t>Fabian Allen</t>
  </si>
  <si>
    <t>Gudakesh Motie</t>
  </si>
  <si>
    <t>Carlos Brathwaite</t>
  </si>
  <si>
    <t>Matthew Forde</t>
  </si>
  <si>
    <t>Akeal Hosein</t>
  </si>
  <si>
    <t>Hayden Walsh Jr.</t>
  </si>
  <si>
    <t>Romario Shepherd</t>
  </si>
  <si>
    <t>Dominic Drakes</t>
  </si>
  <si>
    <t>Nicholas Kirton</t>
  </si>
  <si>
    <t>Chandrapaul Hemraj</t>
  </si>
  <si>
    <t>Kieran Powell</t>
  </si>
  <si>
    <t>Shamar Joseph (batting contributions lower order)</t>
  </si>
  <si>
    <t>West Indies</t>
  </si>
  <si>
    <t>Kusal Mendis</t>
  </si>
  <si>
    <t>Pathum Nissanka</t>
  </si>
  <si>
    <t>Charith Asalanka</t>
  </si>
  <si>
    <t>Dhananjaya de Silva</t>
  </si>
  <si>
    <t>Dimuth Karunaratne</t>
  </si>
  <si>
    <t>Angelo Mathews</t>
  </si>
  <si>
    <t>Sadeera Samarawickrama</t>
  </si>
  <si>
    <t>Dinesh Chandimal</t>
  </si>
  <si>
    <t>Kamindu Mendis</t>
  </si>
  <si>
    <t>Avishka Fernando</t>
  </si>
  <si>
    <t>Bhanuka Rajapaksa</t>
  </si>
  <si>
    <t>Dasun Shanaka</t>
  </si>
  <si>
    <t>Wanindu Hasaranga (batting AR role)</t>
  </si>
  <si>
    <t>Chamika Karunaratne (batting AR role)</t>
  </si>
  <si>
    <t>Ashen Bandara</t>
  </si>
  <si>
    <t>Niroshan Dickwella</t>
  </si>
  <si>
    <t>Lahiru Thirimanne</t>
  </si>
  <si>
    <t>Oshada Fernando</t>
  </si>
  <si>
    <t>Minod Bhanuka</t>
  </si>
  <si>
    <t>Janith Liyanage</t>
  </si>
  <si>
    <t>Nuwanidu Fernando</t>
  </si>
  <si>
    <t>Nishan Madushka</t>
  </si>
  <si>
    <t>Dunith Wellalage (batting AR role)</t>
  </si>
  <si>
    <t>Sahan Arachchige</t>
  </si>
  <si>
    <t>Pavan Rathnayake</t>
  </si>
  <si>
    <t>Sonal Dinusha</t>
  </si>
  <si>
    <t>Navod Paranavithana</t>
  </si>
  <si>
    <t>Sandun Weerakkody</t>
  </si>
  <si>
    <t>Shevon Daniel</t>
  </si>
  <si>
    <t>Lasith Croospulle</t>
  </si>
  <si>
    <t>Ramesh Mendis (batting AR role)</t>
  </si>
  <si>
    <t>Dushan Hemantha</t>
  </si>
  <si>
    <t>Dilshan Madushanka (lower-order bat)</t>
  </si>
  <si>
    <t>Kamil Mishara</t>
  </si>
  <si>
    <t>Nipun Dananjaya</t>
  </si>
  <si>
    <t>Sangeeth Cooray</t>
  </si>
  <si>
    <t>Ravindu Rasantha</t>
  </si>
  <si>
    <t>Kusal Perera</t>
  </si>
  <si>
    <t>Pramod Madushan (batting AR role)</t>
  </si>
  <si>
    <t>Kasun Rajitha (lower-order bat)</t>
  </si>
  <si>
    <t>Lahiru Udara</t>
  </si>
  <si>
    <t>Ashan Priyanjan</t>
  </si>
  <si>
    <t>Sachindu Colombage (batting AR role)</t>
  </si>
  <si>
    <t>Angelo Perera</t>
  </si>
  <si>
    <t>Danushka Gunathilaka</t>
  </si>
  <si>
    <t>Vishwa Fernando (lower-order bat)</t>
  </si>
  <si>
    <t>Roshen Silva</t>
  </si>
  <si>
    <t>Malinda Pushpakumara (batting AR role)</t>
  </si>
  <si>
    <t>Lahiru Samarakoon</t>
  </si>
  <si>
    <t>Sri Lanka</t>
  </si>
  <si>
    <t>Sikandar Raza</t>
  </si>
  <si>
    <t>Craig Ervine</t>
  </si>
  <si>
    <t>Sean Williams</t>
  </si>
  <si>
    <t>Joylord Gumbie</t>
  </si>
  <si>
    <t>Innocent Kaia</t>
  </si>
  <si>
    <t>Tadiwanashe Marumani</t>
  </si>
  <si>
    <t>Wessly Madhevere</t>
  </si>
  <si>
    <t>Clive Madande</t>
  </si>
  <si>
    <t>Emerging</t>
  </si>
  <si>
    <t>Milton Shumba</t>
  </si>
  <si>
    <t>Brian Bennett</t>
  </si>
  <si>
    <t>Zimbabwe</t>
  </si>
  <si>
    <t>Paul Stirling</t>
  </si>
  <si>
    <t>Andrew Balbirnie</t>
  </si>
  <si>
    <t>Harry Tector</t>
  </si>
  <si>
    <t>Lorcan Tucker</t>
  </si>
  <si>
    <t>Curtis Campher</t>
  </si>
  <si>
    <t>Gareth Delany</t>
  </si>
  <si>
    <t>George Dockrell</t>
  </si>
  <si>
    <t>Stephen Doheny</t>
  </si>
  <si>
    <t>Ross Adair</t>
  </si>
  <si>
    <t>James McCollum</t>
  </si>
  <si>
    <t>Ireland</t>
  </si>
  <si>
    <t>Scott Edwards</t>
  </si>
  <si>
    <t>Max O’Dowd</t>
  </si>
  <si>
    <t>Vikramjit Singh</t>
  </si>
  <si>
    <t>Bas de Leede</t>
  </si>
  <si>
    <t>Colin Ackermann</t>
  </si>
  <si>
    <t>Teja Nidamanuru</t>
  </si>
  <si>
    <t>Wesley Barresi</t>
  </si>
  <si>
    <t>Michael Levitt</t>
  </si>
  <si>
    <t>Musa Ahmad</t>
  </si>
  <si>
    <t>Noah Croes</t>
  </si>
  <si>
    <t>Netherlands</t>
  </si>
  <si>
    <t>Monank Patel</t>
  </si>
  <si>
    <t>Aaron Jones</t>
  </si>
  <si>
    <t>Steven Taylor</t>
  </si>
  <si>
    <t>Saurabh Netravalkar (lower-order bat)</t>
  </si>
  <si>
    <t>Corey Anderson</t>
  </si>
  <si>
    <t>Milind Kumar</t>
  </si>
  <si>
    <t>Shayan Jahangir</t>
  </si>
  <si>
    <t>Saiteja Mukkamalla</t>
  </si>
  <si>
    <t>Nisarg Patel</t>
  </si>
  <si>
    <t>USA</t>
  </si>
  <si>
    <t>Rohit Paudel</t>
  </si>
  <si>
    <t>Aasif Sheikh</t>
  </si>
  <si>
    <t>Kushal Bhurtel</t>
  </si>
  <si>
    <t>Kushal Malla</t>
  </si>
  <si>
    <t>Dipendra Singh Airee</t>
  </si>
  <si>
    <t>Gyanendra Malla</t>
  </si>
  <si>
    <t>Aarif Sheikh</t>
  </si>
  <si>
    <t>Sundeep Jora</t>
  </si>
  <si>
    <t>Dev Khanal</t>
  </si>
  <si>
    <t>Bibek Yadav</t>
  </si>
  <si>
    <t>Nepal</t>
  </si>
  <si>
    <t>Jasprit Bumrah</t>
  </si>
  <si>
    <t>Mohammed Siraj</t>
  </si>
  <si>
    <t>Arshdeep Singh</t>
  </si>
  <si>
    <t>Kuldeep Yadav</t>
  </si>
  <si>
    <t>Ravi Bishnoi</t>
  </si>
  <si>
    <t>Yash Dayal</t>
  </si>
  <si>
    <t>Mohsin Khan</t>
  </si>
  <si>
    <t>Kartik Tyagi</t>
  </si>
  <si>
    <t>Mark Wood</t>
  </si>
  <si>
    <t>Jofra Archer</t>
  </si>
  <si>
    <t>Adil Rashid</t>
  </si>
  <si>
    <t>Rehan Ahmed</t>
  </si>
  <si>
    <t>Sam Cook</t>
  </si>
  <si>
    <t>Jamie Porter</t>
  </si>
  <si>
    <t>Pat Cummins</t>
  </si>
  <si>
    <t>Mitchell Starc</t>
  </si>
  <si>
    <t>Josh Hazlewood</t>
  </si>
  <si>
    <t>Adam Zampa</t>
  </si>
  <si>
    <t>Lance Morris</t>
  </si>
  <si>
    <t>Spencer Johnson</t>
  </si>
  <si>
    <t>Kagiso Rabada</t>
  </si>
  <si>
    <t>Anrich Nortje</t>
  </si>
  <si>
    <t>Keshav Maharaj</t>
  </si>
  <si>
    <t>Tabraiz Shamsi</t>
  </si>
  <si>
    <t>Nandre Burger</t>
  </si>
  <si>
    <t>Ottniel Baartman</t>
  </si>
  <si>
    <t>Wanindu Hasaranga</t>
  </si>
  <si>
    <t>Maheesh Theekshana</t>
  </si>
  <si>
    <t>Dilshan Madushanka</t>
  </si>
  <si>
    <t>Matheesha Pathirana</t>
  </si>
  <si>
    <t>Alzarri Joseph</t>
  </si>
  <si>
    <t>Jayden Seales</t>
  </si>
  <si>
    <t>Trent Boult</t>
  </si>
  <si>
    <t>New Zealand</t>
  </si>
  <si>
    <t>Tim Southee</t>
  </si>
  <si>
    <t>Mitchell Santner</t>
  </si>
  <si>
    <t>Lockie Ferguson</t>
  </si>
  <si>
    <t>Ben Sears</t>
  </si>
  <si>
    <t>Jacob Duffy</t>
  </si>
  <si>
    <t>Paul van Meekeren</t>
  </si>
  <si>
    <t>Logan van Beek</t>
  </si>
  <si>
    <t>Fred Klaassen</t>
  </si>
  <si>
    <t>Vivian Kingma</t>
  </si>
  <si>
    <t>Ali Khan</t>
  </si>
  <si>
    <t>Saurabh Netravalkar</t>
  </si>
  <si>
    <t>Nosthush Kenjige</t>
  </si>
  <si>
    <t>Jessy Singh</t>
  </si>
  <si>
    <t>Blessing Muzarabani</t>
  </si>
  <si>
    <t>Richard Ngarava</t>
  </si>
  <si>
    <t>Wellington Masakadza</t>
  </si>
  <si>
    <t>Tendai Chatara</t>
  </si>
  <si>
    <t>Luke Jongwe</t>
  </si>
  <si>
    <t>Mark Adair</t>
  </si>
  <si>
    <t>Josh Little</t>
  </si>
  <si>
    <t>Barry McCarthy</t>
  </si>
  <si>
    <t>Craig Young</t>
  </si>
  <si>
    <t>Fionn Hand</t>
  </si>
  <si>
    <t>Umran Malik</t>
  </si>
  <si>
    <t>Avesh Khan</t>
  </si>
  <si>
    <t>Brydon Carse</t>
  </si>
  <si>
    <t>Gus Atkinson</t>
  </si>
  <si>
    <t>Jhye Richardson</t>
  </si>
  <si>
    <t>Todd Murphy</t>
  </si>
  <si>
    <t>Marco Jansen</t>
  </si>
  <si>
    <t>Gerald Coetzee</t>
  </si>
  <si>
    <t>Lahiru Kumara</t>
  </si>
  <si>
    <t>Obed McCoy</t>
  </si>
  <si>
    <t>Adam Milne</t>
  </si>
  <si>
    <t>Bowler</t>
  </si>
  <si>
    <t>Mohammed Shami</t>
  </si>
  <si>
    <t>Shardul Thakur</t>
  </si>
  <si>
    <t>Prasidh Krishna</t>
  </si>
  <si>
    <t>Mukesh Kumar</t>
  </si>
  <si>
    <t>Deepak Chahar</t>
  </si>
  <si>
    <t>Bhuvneshwar Kumar</t>
  </si>
  <si>
    <t>Khaleel Ahmed</t>
  </si>
  <si>
    <t>Navdeep Saini</t>
  </si>
  <si>
    <t>Harshal Patel</t>
  </si>
  <si>
    <t>Tushar Deshpande</t>
  </si>
  <si>
    <t>Chetan Sakariya</t>
  </si>
  <si>
    <t>Yash Thakur</t>
  </si>
  <si>
    <t>Vaibhav Arora</t>
  </si>
  <si>
    <t>Akash Madhwal</t>
  </si>
  <si>
    <t>Kuldeep Sen</t>
  </si>
  <si>
    <t>Simarjeet Singh</t>
  </si>
  <si>
    <t>Rasikh Salam</t>
  </si>
  <si>
    <t>Yuzvendra Chahal</t>
  </si>
  <si>
    <t>Varun Chakravarthy</t>
  </si>
  <si>
    <t>Mayank Markande</t>
  </si>
  <si>
    <t>Murugan Ashwin</t>
  </si>
  <si>
    <t>Sai Kishore</t>
  </si>
  <si>
    <t>Jayant Yadav</t>
  </si>
  <si>
    <t>Krunal Pandya</t>
  </si>
  <si>
    <t>Shahbaz Ahmed</t>
  </si>
  <si>
    <t>Shivam Mavi</t>
  </si>
  <si>
    <t>Kamlesh Nagarkoti</t>
  </si>
  <si>
    <t>Umesh Yadav</t>
  </si>
  <si>
    <t>Ishant Sharma</t>
  </si>
  <si>
    <t>Sandeep Sharma</t>
  </si>
  <si>
    <t>Anukul Roy</t>
  </si>
  <si>
    <t>Manav Suthar</t>
  </si>
  <si>
    <t>Piyush Chawla</t>
  </si>
  <si>
    <t>Mohit Sharma</t>
  </si>
  <si>
    <t>Jaydev Unadkat</t>
  </si>
  <si>
    <t>Siddharth Kaul</t>
  </si>
  <si>
    <t>Arjun Tendulkar</t>
  </si>
  <si>
    <t>Kartikeya Singh</t>
  </si>
  <si>
    <t>Lalit Yadav</t>
  </si>
  <si>
    <t>M Siddharth</t>
  </si>
  <si>
    <t>Darshan Nalkande</t>
  </si>
  <si>
    <t>Amit Mishra</t>
  </si>
  <si>
    <t>Shahbaz Nadeem</t>
  </si>
  <si>
    <t>Varun Aaron</t>
  </si>
  <si>
    <t>Rishi Dhawan</t>
  </si>
  <si>
    <t>Lungi Ngidi</t>
  </si>
  <si>
    <t>Bjorn Fortuin</t>
  </si>
  <si>
    <t>Andile Phehlukwayo</t>
  </si>
  <si>
    <t>Sisanda Magala</t>
  </si>
  <si>
    <t>Dwaine Pretorius</t>
  </si>
  <si>
    <t>Wayne Parnell</t>
  </si>
  <si>
    <t>Junior Dala</t>
  </si>
  <si>
    <t>Lutho Sipamla</t>
  </si>
  <si>
    <t>Migael Pretorius</t>
  </si>
  <si>
    <t>Beuran Hendricks</t>
  </si>
  <si>
    <t>Duan Jansen</t>
  </si>
  <si>
    <t>Eathan Bosch</t>
  </si>
  <si>
    <t>Hardus Viljoen</t>
  </si>
  <si>
    <t>Glenton Stuurman</t>
  </si>
  <si>
    <t>Corbin Bosch</t>
  </si>
  <si>
    <t>George Linde</t>
  </si>
  <si>
    <t>Aaron Phangiso</t>
  </si>
  <si>
    <t>Lizaad Williams</t>
  </si>
  <si>
    <t>Ayabulela Gqamane</t>
  </si>
  <si>
    <t>Patrick Kruger</t>
  </si>
  <si>
    <t>Dane Paterson</t>
  </si>
  <si>
    <t>Chris Morris</t>
  </si>
  <si>
    <t>Kyle Abbott</t>
  </si>
  <si>
    <t>Albie Morkel</t>
  </si>
  <si>
    <t>Morne Morkel</t>
  </si>
  <si>
    <t>Vernon Philander</t>
  </si>
  <si>
    <t>Imran Tahir</t>
  </si>
  <si>
    <t>Marchant de Lange</t>
  </si>
  <si>
    <t>Rusty Theron</t>
  </si>
  <si>
    <t>Lonwabo Tsotsobe</t>
  </si>
  <si>
    <t>Rory Kleinveldt</t>
  </si>
  <si>
    <t>Ethy Mbhalati</t>
  </si>
  <si>
    <t>Basheeru Deen Walters</t>
  </si>
  <si>
    <t>Tladi Bokako</t>
  </si>
  <si>
    <t>Siya Simetu</t>
  </si>
  <si>
    <t>Okuhle Cele</t>
  </si>
  <si>
    <t>Matthew Breetzke (AR phase)</t>
  </si>
  <si>
    <t>Delano Potgieter</t>
  </si>
  <si>
    <t>Rivaldo Moonsamy (AR phase)</t>
  </si>
  <si>
    <t>Jiveshan Pillay (AR phase)</t>
  </si>
  <si>
    <t>Nathan Lyon</t>
  </si>
  <si>
    <t>Ashton Agar</t>
  </si>
  <si>
    <t>Scott Boland</t>
  </si>
  <si>
    <t>Riley Meredith</t>
  </si>
  <si>
    <t>Xavier Bartlett</t>
  </si>
  <si>
    <t>Nathan Ellis</t>
  </si>
  <si>
    <t>Billy Stanlake</t>
  </si>
  <si>
    <t>Joel Paris</t>
  </si>
  <si>
    <t>Henry Thornton</t>
  </si>
  <si>
    <t>Wes Agar</t>
  </si>
  <si>
    <t>Tanveer Sangha</t>
  </si>
  <si>
    <t>Mitchell Swepson</t>
  </si>
  <si>
    <t>Matthew Kuhnemann</t>
  </si>
  <si>
    <t>Corey Rocchiccioli</t>
  </si>
  <si>
    <t>Nathan McAndrew</t>
  </si>
  <si>
    <t>Will Sutherland</t>
  </si>
  <si>
    <t>Hayden Kerr</t>
  </si>
  <si>
    <t>Chris Green</t>
  </si>
  <si>
    <t>Peter Siddle</t>
  </si>
  <si>
    <t>Ben Dwarshuis</t>
  </si>
  <si>
    <t>Andrew Tye</t>
  </si>
  <si>
    <t>Gurinder Sandhu</t>
  </si>
  <si>
    <t>Mark Steketee</t>
  </si>
  <si>
    <t>Brendan Doggett</t>
  </si>
  <si>
    <t>Jason Behrendorff</t>
  </si>
  <si>
    <t>Clive Rose</t>
  </si>
  <si>
    <t>Matthew Gilkes (AR phase)</t>
  </si>
  <si>
    <t>Jake Lehmann (AR phase)</t>
  </si>
  <si>
    <t>Zac Evans</t>
  </si>
  <si>
    <t>Chris Tremain</t>
  </si>
  <si>
    <t>Peter Hatzoglou</t>
  </si>
  <si>
    <t>Jackson Bird</t>
  </si>
  <si>
    <t>Ben Manenti</t>
  </si>
  <si>
    <t>Ben Cutting</t>
  </si>
  <si>
    <t>John Hastings</t>
  </si>
  <si>
    <t>Kane Richardson</t>
  </si>
  <si>
    <t>James Pattinson</t>
  </si>
  <si>
    <t>Ben Laughlin</t>
  </si>
  <si>
    <t>Nathan Coulter-Nile</t>
  </si>
  <si>
    <t>Adam Milne (BBL phase)</t>
  </si>
  <si>
    <t>Matthew Short</t>
  </si>
  <si>
    <t>Tim David (AR phase)</t>
  </si>
  <si>
    <t>Callum Ferguson (AR phase)</t>
  </si>
  <si>
    <t>Nick Winter</t>
  </si>
  <si>
    <t>Brody Couch</t>
  </si>
  <si>
    <t>Liam Hatcher</t>
  </si>
  <si>
    <t>Nathan McSweeney (AR phase)</t>
  </si>
  <si>
    <t>Cooper Connolly (AR phase)</t>
  </si>
  <si>
    <t>Teague Wyllie (AR phase)</t>
  </si>
  <si>
    <t>Campbell Kellaway (AR phase)</t>
  </si>
  <si>
    <t>James Anderson</t>
  </si>
  <si>
    <t>Stuart Broad</t>
  </si>
  <si>
    <t>Chris Woakes</t>
  </si>
  <si>
    <t>Reece Topley</t>
  </si>
  <si>
    <t>David Willey</t>
  </si>
  <si>
    <t>Matthew Potts</t>
  </si>
  <si>
    <t>Josh Tongue</t>
  </si>
  <si>
    <t>Ollie Robinson</t>
  </si>
  <si>
    <t>Saqib Mahmood</t>
  </si>
  <si>
    <t>Jamie Overton</t>
  </si>
  <si>
    <t>Craig Overton</t>
  </si>
  <si>
    <t>Luke Wood</t>
  </si>
  <si>
    <t>Richard Gleeson</t>
  </si>
  <si>
    <t>Tymal Mills</t>
  </si>
  <si>
    <t>David Payne</t>
  </si>
  <si>
    <t>Tom Hartley</t>
  </si>
  <si>
    <t>Matt Parkinson</t>
  </si>
  <si>
    <t>Mason Crane</t>
  </si>
  <si>
    <t>Danny Briggs</t>
  </si>
  <si>
    <t>George Garton</t>
  </si>
  <si>
    <t>Lewis Gregory</t>
  </si>
  <si>
    <t>Chris Jordan</t>
  </si>
  <si>
    <t>Luke Fletcher</t>
  </si>
  <si>
    <t>Paul Walter</t>
  </si>
  <si>
    <t>Chris Rushworth</t>
  </si>
  <si>
    <t>Craig Miles</t>
  </si>
  <si>
    <t>Jack Shutt</t>
  </si>
  <si>
    <t>Jack Leach</t>
  </si>
  <si>
    <t>Josh Hull</t>
  </si>
  <si>
    <t>Brad Wheal</t>
  </si>
  <si>
    <t>Zafar Gohar</t>
  </si>
  <si>
    <t>Calvin Harrison</t>
  </si>
  <si>
    <t>Tom Curran</t>
  </si>
  <si>
    <t>Liam Dawson</t>
  </si>
  <si>
    <t>Graham Onions</t>
  </si>
  <si>
    <t>Matthew Fisher</t>
  </si>
  <si>
    <t>Ollie Stone</t>
  </si>
  <si>
    <t>Ryan Higgins</t>
  </si>
  <si>
    <t>Callum Parkinson</t>
  </si>
  <si>
    <t>Ben Sanderson</t>
  </si>
  <si>
    <t>John Turner</t>
  </si>
  <si>
    <t>Saif Zaib</t>
  </si>
  <si>
    <t>Charlie Morris</t>
  </si>
  <si>
    <t>Josh Little (county phase)</t>
  </si>
  <si>
    <t>Craig White</t>
  </si>
  <si>
    <t>Tom Abell (AR phase)</t>
  </si>
  <si>
    <t>Oliver Price</t>
  </si>
  <si>
    <t>Matt Henry</t>
  </si>
  <si>
    <t>Kyle Jamieson</t>
  </si>
  <si>
    <t>Ish Sodhi</t>
  </si>
  <si>
    <t>Blair Tickner</t>
  </si>
  <si>
    <t>James Neesham</t>
  </si>
  <si>
    <t>Glenn Phillips (AR)</t>
  </si>
  <si>
    <t>Daryl Mitchell (AR)</t>
  </si>
  <si>
    <t>Rachin Ravindra (AR)</t>
  </si>
  <si>
    <t>Josh Clarkson</t>
  </si>
  <si>
    <t>Ben Lister</t>
  </si>
  <si>
    <t>Doug Bracewell</t>
  </si>
  <si>
    <t>Scott Kuggeleijn</t>
  </si>
  <si>
    <t>Ajaz Patel</t>
  </si>
  <si>
    <t>William O’Rourke</t>
  </si>
  <si>
    <t>Zak Foulkes</t>
  </si>
  <si>
    <t>Kristian Clarke</t>
  </si>
  <si>
    <t>Nathan Smith</t>
  </si>
  <si>
    <t>Jacob Bhula (AR phase)</t>
  </si>
  <si>
    <t>Matt Fisher (domestic NZ)</t>
  </si>
  <si>
    <t>Dane Cleaver (AR phase)</t>
  </si>
  <si>
    <t>Brett Randell</t>
  </si>
  <si>
    <t>Dushmantha Chameera</t>
  </si>
  <si>
    <t>Kasun Rajitha</t>
  </si>
  <si>
    <t>Asitha Fernando</t>
  </si>
  <si>
    <t>Vishwa Fernando</t>
  </si>
  <si>
    <t>Binura Fernando</t>
  </si>
  <si>
    <t>Jeffrey Vandersay</t>
  </si>
  <si>
    <t>Ramesh Mendis</t>
  </si>
  <si>
    <t>Dunith Wellalage</t>
  </si>
  <si>
    <t>Nuwan Thushara</t>
  </si>
  <si>
    <t>Chamika Karunaratne</t>
  </si>
  <si>
    <t>Pramod Madushan</t>
  </si>
  <si>
    <t>Akila Dananjaya</t>
  </si>
  <si>
    <t>Lakshan Sandakan</t>
  </si>
  <si>
    <t>Isuru Udana</t>
  </si>
  <si>
    <t>Sachindu Colombage</t>
  </si>
  <si>
    <t>Malinda Pushpakumara</t>
  </si>
  <si>
    <t>Navod Paranavithana (AR)</t>
  </si>
  <si>
    <t>Janith Liyanage (AR)</t>
  </si>
  <si>
    <t>Kamindu Mendis (AR)</t>
  </si>
  <si>
    <t>Chamindu Wickramasinghe</t>
  </si>
  <si>
    <t>Tharindu Ratnayake</t>
  </si>
  <si>
    <t>Keemo Paul</t>
  </si>
  <si>
    <t>Shamar Joseph</t>
  </si>
  <si>
    <t>Kevin Sinclair</t>
  </si>
  <si>
    <t>Veerasammy Permaul</t>
  </si>
  <si>
    <t>Sheldon Cottrell</t>
  </si>
  <si>
    <t>Kemar Roach</t>
  </si>
  <si>
    <t>Anderson Phillip</t>
  </si>
  <si>
    <t>Nyeem Young</t>
  </si>
  <si>
    <t>Kavem Hodge</t>
  </si>
  <si>
    <t>Kirk McKenzie (AR)</t>
  </si>
  <si>
    <t>Anderson Mahase</t>
  </si>
  <si>
    <t>Cameron Stevenson</t>
  </si>
  <si>
    <t>Aryan Dutt</t>
  </si>
  <si>
    <t>Batting Strike Rate</t>
  </si>
  <si>
    <t>Batsmen Total Runs</t>
  </si>
  <si>
    <t>Batting Average</t>
  </si>
  <si>
    <t>No of Sixes</t>
  </si>
  <si>
    <t>No of Fours</t>
  </si>
  <si>
    <t>Balls Faced</t>
  </si>
  <si>
    <t>Total career dot balls played</t>
  </si>
  <si>
    <t>No of Half Centuries Scored</t>
  </si>
  <si>
    <t>Age of the Player</t>
  </si>
  <si>
    <t>Capped or Uncapped</t>
  </si>
  <si>
    <t>Capped</t>
  </si>
  <si>
    <t>No of Centuries Scored</t>
  </si>
  <si>
    <t>Uncapped</t>
  </si>
  <si>
    <t>Vaibhav Sooryavanshi</t>
  </si>
  <si>
    <t>Priyansh Arya</t>
  </si>
  <si>
    <t>Ayush Mhatre</t>
  </si>
  <si>
    <t>Aaron George</t>
  </si>
  <si>
    <t>Robin Minz</t>
  </si>
  <si>
    <t>Prabhsiman Singh</t>
  </si>
  <si>
    <t>Wk-Batsman</t>
  </si>
  <si>
    <t>No of Stumpings</t>
  </si>
  <si>
    <t>No of Catches</t>
  </si>
  <si>
    <t>No of Run Outs</t>
  </si>
  <si>
    <t>MS Dhoni</t>
  </si>
  <si>
    <t>Mohammad Siraj</t>
  </si>
  <si>
    <t>Mohammad Shami</t>
  </si>
  <si>
    <t>Suyash Sharma</t>
  </si>
  <si>
    <t>Mayank Yadav</t>
  </si>
  <si>
    <t>Pace Bowler</t>
  </si>
  <si>
    <t>Spin Bowler</t>
  </si>
  <si>
    <t>Medium Pace Bowler</t>
  </si>
  <si>
    <t>Akashdeep</t>
  </si>
  <si>
    <t>Bowling Strike Rate</t>
  </si>
  <si>
    <t>Bowling Average</t>
  </si>
  <si>
    <t>Wickets Taken</t>
  </si>
  <si>
    <t>Runs Conceded</t>
  </si>
  <si>
    <t>Sixes Conceded</t>
  </si>
  <si>
    <t>Fours Conceded</t>
  </si>
  <si>
    <t>Dot Balls Bowled</t>
  </si>
  <si>
    <t>5 Wicket hauls</t>
  </si>
  <si>
    <t>Capped/Uncapped</t>
  </si>
  <si>
    <t>Maidens Bowled</t>
  </si>
  <si>
    <t>Bowling Economy</t>
  </si>
  <si>
    <t>3 Wicket Hauls</t>
  </si>
  <si>
    <t>Vignesh Puthur</t>
  </si>
  <si>
    <t>Nitish Kumar Reddy</t>
  </si>
  <si>
    <t>Fast-All Rounder</t>
  </si>
  <si>
    <t>R Ashwin</t>
  </si>
  <si>
    <t>Spin-All Rounder</t>
  </si>
  <si>
    <t xml:space="preserve">Venkatesh Iyer </t>
  </si>
  <si>
    <t>Ramandeep Singh</t>
  </si>
  <si>
    <t>Runs Scored</t>
  </si>
  <si>
    <t>5 Wicket Hauls</t>
  </si>
  <si>
    <t>Jake Fraser Mcgurk</t>
  </si>
  <si>
    <t>Ben Mcdermott</t>
  </si>
  <si>
    <t>D'Arcy Short</t>
  </si>
  <si>
    <t>Lloyd Pope</t>
  </si>
  <si>
    <t>Scott Curie</t>
  </si>
  <si>
    <t>George ScrimShaw</t>
  </si>
  <si>
    <t>Ottneil Baartman</t>
  </si>
  <si>
    <t>Khary Pierre</t>
  </si>
  <si>
    <t>Dilshan Madhu Shanka</t>
  </si>
  <si>
    <t>Blessing Muzarbani</t>
  </si>
  <si>
    <t>Rashid Khan</t>
  </si>
  <si>
    <t>Naveen Ul Haq</t>
  </si>
  <si>
    <t>Afghanistan</t>
  </si>
  <si>
    <t>Fazalhaq Farooqi</t>
  </si>
  <si>
    <t>Mujeeb ur Rahman</t>
  </si>
  <si>
    <t>Barry Mccathy</t>
  </si>
  <si>
    <t>Roelof van der Merwe</t>
  </si>
  <si>
    <t>Shadley Van Schalkwyk</t>
  </si>
  <si>
    <t>Harmeet Singh</t>
  </si>
  <si>
    <t>Mustafizur Rahman</t>
  </si>
  <si>
    <t>Taskin Ahmed</t>
  </si>
  <si>
    <t>Tanzim Hasan Sakib</t>
  </si>
  <si>
    <t>Mahedi Hassan</t>
  </si>
  <si>
    <t>Rishad Hossain</t>
  </si>
  <si>
    <t>Sandeep Lamichhane</t>
  </si>
  <si>
    <t>Bangladesh</t>
  </si>
  <si>
    <t>Sher Malla</t>
  </si>
  <si>
    <t>Sompal Kami</t>
  </si>
  <si>
    <t>Karan KC</t>
  </si>
  <si>
    <t>Tom Moores</t>
  </si>
  <si>
    <t>Joe Denly</t>
  </si>
  <si>
    <t>Faf du Plessis</t>
  </si>
  <si>
    <t>Shehan Jayasuriya</t>
  </si>
  <si>
    <t>Ibrahim Zadran</t>
  </si>
  <si>
    <t>Darwish Rasooli</t>
  </si>
  <si>
    <t>Shahidullah Kamal</t>
  </si>
  <si>
    <t>Zubaid Akbari</t>
  </si>
  <si>
    <t>Sediqullah Atal</t>
  </si>
  <si>
    <t>Tanzid Hasan</t>
  </si>
  <si>
    <t>Parvez Hossain Emon</t>
  </si>
  <si>
    <t>Max O'Dowd</t>
  </si>
  <si>
    <t>Zach Lion-Cachet</t>
  </si>
  <si>
    <t>Brendan Taylor</t>
  </si>
  <si>
    <t>Tony Munyonga</t>
  </si>
  <si>
    <t>Quinton De Kock</t>
  </si>
  <si>
    <t>Amir Jangoo</t>
  </si>
  <si>
    <t>Hazratullah Zazai</t>
  </si>
  <si>
    <t>Litton Das</t>
  </si>
  <si>
    <t>Jaker Ali</t>
  </si>
  <si>
    <t>Lokesh Bam</t>
  </si>
  <si>
    <t>Zak Chappell</t>
  </si>
  <si>
    <t>Sunil Narine</t>
  </si>
  <si>
    <t>Gulbadin Naib</t>
  </si>
  <si>
    <t>Azmatullah Omarzai</t>
  </si>
  <si>
    <t>Noor Ahmad</t>
  </si>
  <si>
    <t>Karim Janat</t>
  </si>
  <si>
    <t>Mehidy hasan Miraz</t>
  </si>
  <si>
    <t>Shakib al Hasan</t>
  </si>
  <si>
    <t>Spin All Rounder</t>
  </si>
  <si>
    <t>Shubham Ranjane</t>
  </si>
  <si>
    <t>Saqib Zulfiqar</t>
  </si>
  <si>
    <t>Rassie Van der Dussen</t>
  </si>
  <si>
    <t>Last Auction Price Sold (in Crs)</t>
  </si>
  <si>
    <t>Brian Benett</t>
  </si>
  <si>
    <t>William O' Rourke</t>
  </si>
  <si>
    <t>Joshua Little</t>
  </si>
  <si>
    <t>Frederick Klaassen</t>
  </si>
  <si>
    <t>Philip Salt</t>
  </si>
  <si>
    <t>Rahmanullah Gurbaz</t>
  </si>
  <si>
    <t>Dhananjaya De Silva</t>
  </si>
  <si>
    <t>Mohammad Nabi</t>
  </si>
  <si>
    <t>Sanjay Krishnamurthi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</si>
</sst>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0" xfId="0" quotePrefix="1"/>
    <xf numFmtId="0" fontId="0" fillId="0" borderId="4" xfId="0" applyBorder="1" applyAlignment="1">
      <alignment vertical="center" wrapText="1"/>
    </xf>
    <xf numFmtId="0" fontId="0" fillId="0" borderId="6" xfId="0" applyBorder="1"/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7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1" fillId="0" borderId="3" xfId="0" applyFont="1" applyBorder="1"/>
    <xf numFmtId="0" fontId="0" fillId="0" borderId="8" xfId="0" applyBorder="1"/>
    <xf numFmtId="0" fontId="2" fillId="0" borderId="1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horizontal="left" wrapText="1"/>
    </xf>
    <xf numFmtId="2" fontId="0" fillId="0" borderId="1" xfId="0" applyNumberFormat="1" applyBorder="1"/>
    <xf numFmtId="172" fontId="0" fillId="0" borderId="1" xfId="0" applyNumberFormat="1" applyBorder="1"/>
    <xf numFmtId="0" fontId="0" fillId="0" borderId="1" xfId="0" applyNumberFormat="1" applyBorder="1"/>
    <xf numFmtId="0" fontId="0" fillId="0" borderId="8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B2D2-E664-4DDE-AC95-5A502F5FBFA0}">
  <sheetPr filterMode="1"/>
  <dimension ref="A1:S1023"/>
  <sheetViews>
    <sheetView workbookViewId="0">
      <selection activeCell="H252" sqref="H252"/>
    </sheetView>
  </sheetViews>
  <sheetFormatPr defaultRowHeight="14.4" x14ac:dyDescent="0.3"/>
  <cols>
    <col min="1" max="1" width="11.109375" customWidth="1"/>
    <col min="2" max="2" width="29.77734375" customWidth="1"/>
    <col min="3" max="3" width="25.88671875" customWidth="1"/>
    <col min="4" max="4" width="17.109375" customWidth="1"/>
    <col min="5" max="5" width="8.88671875" style="3"/>
    <col min="6" max="6" width="18.5546875" customWidth="1"/>
    <col min="7" max="7" width="20.77734375" customWidth="1"/>
    <col min="8" max="8" width="18.5546875" customWidth="1"/>
    <col min="9" max="9" width="13.33203125" customWidth="1"/>
    <col min="10" max="10" width="14.44140625" customWidth="1"/>
    <col min="11" max="11" width="11.44140625" customWidth="1"/>
    <col min="12" max="12" width="30.109375" customWidth="1"/>
    <col min="13" max="13" width="32.6640625" customWidth="1"/>
    <col min="14" max="14" width="25.109375" customWidth="1"/>
    <col min="15" max="15" width="14.6640625" customWidth="1"/>
    <col min="16" max="16" width="17.21875" customWidth="1"/>
    <col min="17" max="17" width="20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5" t="s">
        <v>70</v>
      </c>
      <c r="E1" s="1" t="s">
        <v>109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9" hidden="1" x14ac:dyDescent="0.3">
      <c r="A2" s="2">
        <v>1</v>
      </c>
      <c r="B2" s="2" t="s">
        <v>3</v>
      </c>
      <c r="C2" s="2" t="s">
        <v>4</v>
      </c>
      <c r="D2" s="9" t="s">
        <v>71</v>
      </c>
      <c r="E2" s="2" t="s">
        <v>110</v>
      </c>
    </row>
    <row r="3" spans="1:19" hidden="1" x14ac:dyDescent="0.3">
      <c r="A3" s="2">
        <v>2</v>
      </c>
      <c r="B3" s="2" t="s">
        <v>5</v>
      </c>
      <c r="C3" s="2" t="s">
        <v>4</v>
      </c>
      <c r="D3" s="9" t="s">
        <v>71</v>
      </c>
      <c r="E3" s="2" t="s">
        <v>110</v>
      </c>
    </row>
    <row r="4" spans="1:19" hidden="1" x14ac:dyDescent="0.3">
      <c r="A4" s="2">
        <v>3</v>
      </c>
      <c r="B4" s="2" t="s">
        <v>6</v>
      </c>
      <c r="C4" s="2" t="s">
        <v>4</v>
      </c>
      <c r="D4" s="9" t="s">
        <v>71</v>
      </c>
      <c r="E4" s="2" t="s">
        <v>110</v>
      </c>
    </row>
    <row r="5" spans="1:19" hidden="1" x14ac:dyDescent="0.3">
      <c r="A5" s="2">
        <v>4</v>
      </c>
      <c r="B5" s="2" t="s">
        <v>7</v>
      </c>
      <c r="C5" s="2" t="s">
        <v>4</v>
      </c>
      <c r="D5" s="9" t="s">
        <v>71</v>
      </c>
      <c r="E5" s="2" t="s">
        <v>110</v>
      </c>
    </row>
    <row r="6" spans="1:19" hidden="1" x14ac:dyDescent="0.3">
      <c r="A6" s="2">
        <v>5</v>
      </c>
      <c r="B6" s="2" t="s">
        <v>8</v>
      </c>
      <c r="C6" s="2" t="s">
        <v>4</v>
      </c>
      <c r="D6" s="9" t="s">
        <v>71</v>
      </c>
      <c r="E6" s="2" t="s">
        <v>110</v>
      </c>
    </row>
    <row r="7" spans="1:19" hidden="1" x14ac:dyDescent="0.3">
      <c r="A7" s="2">
        <v>6</v>
      </c>
      <c r="B7" s="2" t="s">
        <v>9</v>
      </c>
      <c r="C7" s="2" t="s">
        <v>4</v>
      </c>
      <c r="D7" s="9" t="s">
        <v>71</v>
      </c>
      <c r="E7" s="2" t="s">
        <v>110</v>
      </c>
    </row>
    <row r="8" spans="1:19" hidden="1" x14ac:dyDescent="0.3">
      <c r="A8" s="2">
        <v>7</v>
      </c>
      <c r="B8" s="2" t="s">
        <v>10</v>
      </c>
      <c r="C8" s="2" t="s">
        <v>4</v>
      </c>
      <c r="D8" s="9" t="s">
        <v>71</v>
      </c>
      <c r="E8" s="2" t="s">
        <v>110</v>
      </c>
    </row>
    <row r="9" spans="1:19" hidden="1" x14ac:dyDescent="0.3">
      <c r="A9" s="2">
        <v>8</v>
      </c>
      <c r="B9" s="2" t="s">
        <v>11</v>
      </c>
      <c r="C9" s="2" t="s">
        <v>4</v>
      </c>
      <c r="D9" s="9" t="s">
        <v>71</v>
      </c>
      <c r="E9" s="2" t="s">
        <v>110</v>
      </c>
    </row>
    <row r="10" spans="1:19" hidden="1" x14ac:dyDescent="0.3">
      <c r="A10" s="2">
        <v>9</v>
      </c>
      <c r="B10" s="2" t="s">
        <v>12</v>
      </c>
      <c r="C10" s="2" t="s">
        <v>4</v>
      </c>
      <c r="D10" s="9" t="s">
        <v>71</v>
      </c>
      <c r="E10" s="2" t="s">
        <v>110</v>
      </c>
    </row>
    <row r="11" spans="1:19" hidden="1" x14ac:dyDescent="0.3">
      <c r="A11" s="2">
        <v>10</v>
      </c>
      <c r="B11" s="2" t="s">
        <v>13</v>
      </c>
      <c r="C11" s="2" t="s">
        <v>4</v>
      </c>
      <c r="D11" s="9" t="s">
        <v>71</v>
      </c>
      <c r="E11" s="2" t="s">
        <v>110</v>
      </c>
    </row>
    <row r="12" spans="1:19" hidden="1" x14ac:dyDescent="0.3">
      <c r="A12" s="2">
        <v>11</v>
      </c>
      <c r="B12" s="2" t="s">
        <v>14</v>
      </c>
      <c r="C12" s="2" t="s">
        <v>4</v>
      </c>
      <c r="D12" s="9" t="s">
        <v>71</v>
      </c>
      <c r="E12" s="2" t="s">
        <v>110</v>
      </c>
    </row>
    <row r="13" spans="1:19" hidden="1" x14ac:dyDescent="0.3">
      <c r="A13" s="2">
        <v>12</v>
      </c>
      <c r="B13" s="2" t="s">
        <v>15</v>
      </c>
      <c r="C13" s="2" t="s">
        <v>4</v>
      </c>
      <c r="D13" s="9" t="s">
        <v>71</v>
      </c>
      <c r="E13" s="2" t="s">
        <v>110</v>
      </c>
    </row>
    <row r="14" spans="1:19" hidden="1" x14ac:dyDescent="0.3">
      <c r="A14" s="2">
        <v>13</v>
      </c>
      <c r="B14" s="2" t="s">
        <v>16</v>
      </c>
      <c r="C14" s="2" t="s">
        <v>4</v>
      </c>
      <c r="D14" s="9" t="s">
        <v>71</v>
      </c>
      <c r="E14" s="2" t="s">
        <v>110</v>
      </c>
      <c r="S14" s="10"/>
    </row>
    <row r="15" spans="1:19" hidden="1" x14ac:dyDescent="0.3">
      <c r="A15" s="2">
        <v>14</v>
      </c>
      <c r="B15" s="2" t="s">
        <v>17</v>
      </c>
      <c r="C15" s="2" t="s">
        <v>108</v>
      </c>
      <c r="D15" s="9" t="s">
        <v>71</v>
      </c>
      <c r="E15" s="2" t="s">
        <v>110</v>
      </c>
    </row>
    <row r="16" spans="1:19" hidden="1" x14ac:dyDescent="0.3">
      <c r="A16" s="2">
        <v>15</v>
      </c>
      <c r="B16" s="2" t="s">
        <v>18</v>
      </c>
      <c r="C16" s="2" t="s">
        <v>108</v>
      </c>
      <c r="D16" s="9" t="s">
        <v>71</v>
      </c>
      <c r="E16" s="2" t="s">
        <v>110</v>
      </c>
    </row>
    <row r="17" spans="1:5" hidden="1" x14ac:dyDescent="0.3">
      <c r="A17" s="2">
        <v>16</v>
      </c>
      <c r="B17" s="2" t="s">
        <v>19</v>
      </c>
      <c r="C17" s="2" t="s">
        <v>108</v>
      </c>
      <c r="D17" s="9" t="s">
        <v>71</v>
      </c>
      <c r="E17" s="2" t="s">
        <v>110</v>
      </c>
    </row>
    <row r="18" spans="1:5" hidden="1" x14ac:dyDescent="0.3">
      <c r="A18" s="2">
        <v>17</v>
      </c>
      <c r="B18" s="2" t="s">
        <v>20</v>
      </c>
      <c r="C18" s="2" t="s">
        <v>108</v>
      </c>
      <c r="D18" s="9" t="s">
        <v>71</v>
      </c>
      <c r="E18" s="2" t="s">
        <v>110</v>
      </c>
    </row>
    <row r="19" spans="1:5" hidden="1" x14ac:dyDescent="0.3">
      <c r="A19" s="2">
        <v>18</v>
      </c>
      <c r="B19" s="2" t="s">
        <v>21</v>
      </c>
      <c r="C19" s="2" t="s">
        <v>108</v>
      </c>
      <c r="D19" s="9" t="s">
        <v>71</v>
      </c>
      <c r="E19" s="2" t="s">
        <v>110</v>
      </c>
    </row>
    <row r="20" spans="1:5" hidden="1" x14ac:dyDescent="0.3">
      <c r="A20" s="2">
        <v>19</v>
      </c>
      <c r="B20" s="2" t="s">
        <v>22</v>
      </c>
      <c r="C20" s="2" t="s">
        <v>108</v>
      </c>
      <c r="D20" s="9" t="s">
        <v>71</v>
      </c>
      <c r="E20" s="2" t="s">
        <v>110</v>
      </c>
    </row>
    <row r="21" spans="1:5" hidden="1" x14ac:dyDescent="0.3">
      <c r="A21" s="2">
        <v>20</v>
      </c>
      <c r="B21" s="2" t="s">
        <v>23</v>
      </c>
      <c r="C21" s="2" t="s">
        <v>108</v>
      </c>
      <c r="D21" s="9" t="s">
        <v>71</v>
      </c>
      <c r="E21" s="2" t="s">
        <v>110</v>
      </c>
    </row>
    <row r="22" spans="1:5" hidden="1" x14ac:dyDescent="0.3">
      <c r="A22" s="2">
        <v>21</v>
      </c>
      <c r="B22" s="2" t="s">
        <v>24</v>
      </c>
      <c r="C22" s="2" t="s">
        <v>108</v>
      </c>
      <c r="D22" s="9" t="s">
        <v>71</v>
      </c>
      <c r="E22" s="2" t="s">
        <v>110</v>
      </c>
    </row>
    <row r="23" spans="1:5" hidden="1" x14ac:dyDescent="0.3">
      <c r="A23" s="2">
        <v>22</v>
      </c>
      <c r="B23" s="2" t="s">
        <v>25</v>
      </c>
      <c r="C23" s="2" t="s">
        <v>108</v>
      </c>
      <c r="D23" s="9" t="s">
        <v>71</v>
      </c>
      <c r="E23" s="2" t="s">
        <v>110</v>
      </c>
    </row>
    <row r="24" spans="1:5" hidden="1" x14ac:dyDescent="0.3">
      <c r="A24" s="2">
        <v>23</v>
      </c>
      <c r="B24" s="2" t="s">
        <v>26</v>
      </c>
      <c r="C24" s="2" t="s">
        <v>108</v>
      </c>
      <c r="D24" s="9" t="s">
        <v>71</v>
      </c>
      <c r="E24" s="2" t="s">
        <v>110</v>
      </c>
    </row>
    <row r="25" spans="1:5" hidden="1" x14ac:dyDescent="0.3">
      <c r="A25" s="2">
        <v>24</v>
      </c>
      <c r="B25" s="2" t="s">
        <v>27</v>
      </c>
      <c r="C25" s="2" t="s">
        <v>108</v>
      </c>
      <c r="D25" s="9" t="s">
        <v>71</v>
      </c>
      <c r="E25" s="2" t="s">
        <v>110</v>
      </c>
    </row>
    <row r="26" spans="1:5" hidden="1" x14ac:dyDescent="0.3">
      <c r="A26" s="2">
        <v>25</v>
      </c>
      <c r="B26" s="2" t="s">
        <v>28</v>
      </c>
      <c r="C26" s="2" t="s">
        <v>108</v>
      </c>
      <c r="D26" s="9" t="s">
        <v>71</v>
      </c>
      <c r="E26" s="2" t="s">
        <v>110</v>
      </c>
    </row>
    <row r="27" spans="1:5" hidden="1" x14ac:dyDescent="0.3">
      <c r="A27" s="2">
        <v>26</v>
      </c>
      <c r="B27" s="2" t="s">
        <v>29</v>
      </c>
      <c r="C27" s="2" t="s">
        <v>108</v>
      </c>
      <c r="D27" s="9" t="s">
        <v>71</v>
      </c>
      <c r="E27" s="2" t="s">
        <v>110</v>
      </c>
    </row>
    <row r="28" spans="1:5" hidden="1" x14ac:dyDescent="0.3">
      <c r="A28" s="2">
        <v>27</v>
      </c>
      <c r="B28" s="2" t="s">
        <v>30</v>
      </c>
      <c r="C28" s="2" t="s">
        <v>108</v>
      </c>
      <c r="D28" s="9" t="s">
        <v>71</v>
      </c>
      <c r="E28" s="2" t="s">
        <v>110</v>
      </c>
    </row>
    <row r="29" spans="1:5" hidden="1" x14ac:dyDescent="0.3">
      <c r="A29" s="2">
        <v>28</v>
      </c>
      <c r="B29" s="2" t="s">
        <v>31</v>
      </c>
      <c r="C29" s="2" t="s">
        <v>108</v>
      </c>
      <c r="D29" s="9" t="s">
        <v>71</v>
      </c>
      <c r="E29" s="2" t="s">
        <v>110</v>
      </c>
    </row>
    <row r="30" spans="1:5" hidden="1" x14ac:dyDescent="0.3">
      <c r="A30" s="2">
        <v>29</v>
      </c>
      <c r="B30" s="2" t="s">
        <v>32</v>
      </c>
      <c r="C30" s="2" t="s">
        <v>108</v>
      </c>
      <c r="D30" s="9" t="s">
        <v>71</v>
      </c>
      <c r="E30" s="2" t="s">
        <v>110</v>
      </c>
    </row>
    <row r="31" spans="1:5" hidden="1" x14ac:dyDescent="0.3">
      <c r="A31" s="2">
        <v>30</v>
      </c>
      <c r="B31" s="2" t="s">
        <v>33</v>
      </c>
      <c r="C31" s="2" t="s">
        <v>108</v>
      </c>
      <c r="D31" s="9" t="s">
        <v>71</v>
      </c>
      <c r="E31" s="2" t="s">
        <v>110</v>
      </c>
    </row>
    <row r="32" spans="1:5" hidden="1" x14ac:dyDescent="0.3">
      <c r="A32" s="2">
        <v>31</v>
      </c>
      <c r="B32" s="2" t="s">
        <v>34</v>
      </c>
      <c r="C32" s="2" t="s">
        <v>108</v>
      </c>
      <c r="D32" s="9" t="s">
        <v>71</v>
      </c>
      <c r="E32" s="2" t="s">
        <v>110</v>
      </c>
    </row>
    <row r="33" spans="1:5" hidden="1" x14ac:dyDescent="0.3">
      <c r="A33" s="2">
        <v>32</v>
      </c>
      <c r="B33" s="2" t="s">
        <v>35</v>
      </c>
      <c r="C33" s="2" t="s">
        <v>108</v>
      </c>
      <c r="D33" s="9" t="s">
        <v>71</v>
      </c>
      <c r="E33" s="2" t="s">
        <v>110</v>
      </c>
    </row>
    <row r="34" spans="1:5" hidden="1" x14ac:dyDescent="0.3">
      <c r="A34" s="2">
        <v>33</v>
      </c>
      <c r="B34" s="2" t="s">
        <v>36</v>
      </c>
      <c r="C34" s="2" t="s">
        <v>108</v>
      </c>
      <c r="D34" s="9" t="s">
        <v>71</v>
      </c>
      <c r="E34" s="2" t="s">
        <v>110</v>
      </c>
    </row>
    <row r="35" spans="1:5" hidden="1" x14ac:dyDescent="0.3">
      <c r="A35" s="2">
        <v>34</v>
      </c>
      <c r="B35" s="2" t="s">
        <v>37</v>
      </c>
      <c r="C35" s="2" t="s">
        <v>108</v>
      </c>
      <c r="D35" s="9" t="s">
        <v>71</v>
      </c>
      <c r="E35" s="2" t="s">
        <v>110</v>
      </c>
    </row>
    <row r="36" spans="1:5" hidden="1" x14ac:dyDescent="0.3">
      <c r="A36" s="2">
        <v>35</v>
      </c>
      <c r="B36" s="2" t="s">
        <v>38</v>
      </c>
      <c r="C36" s="2" t="s">
        <v>108</v>
      </c>
      <c r="D36" s="9" t="s">
        <v>71</v>
      </c>
      <c r="E36" s="2" t="s">
        <v>110</v>
      </c>
    </row>
    <row r="37" spans="1:5" hidden="1" x14ac:dyDescent="0.3">
      <c r="A37" s="2">
        <v>36</v>
      </c>
      <c r="B37" s="2" t="s">
        <v>39</v>
      </c>
      <c r="C37" s="2" t="s">
        <v>40</v>
      </c>
      <c r="D37" s="9" t="s">
        <v>71</v>
      </c>
      <c r="E37" s="2" t="s">
        <v>110</v>
      </c>
    </row>
    <row r="38" spans="1:5" hidden="1" x14ac:dyDescent="0.3">
      <c r="A38" s="2">
        <v>37</v>
      </c>
      <c r="B38" s="2" t="s">
        <v>41</v>
      </c>
      <c r="C38" s="2" t="s">
        <v>40</v>
      </c>
      <c r="D38" s="9" t="s">
        <v>71</v>
      </c>
      <c r="E38" s="2" t="s">
        <v>110</v>
      </c>
    </row>
    <row r="39" spans="1:5" hidden="1" x14ac:dyDescent="0.3">
      <c r="A39" s="2">
        <v>38</v>
      </c>
      <c r="B39" s="2" t="s">
        <v>42</v>
      </c>
      <c r="C39" s="2" t="s">
        <v>40</v>
      </c>
      <c r="D39" s="9" t="s">
        <v>71</v>
      </c>
      <c r="E39" s="2" t="s">
        <v>110</v>
      </c>
    </row>
    <row r="40" spans="1:5" hidden="1" x14ac:dyDescent="0.3">
      <c r="A40" s="2">
        <v>39</v>
      </c>
      <c r="B40" s="2" t="s">
        <v>43</v>
      </c>
      <c r="C40" s="2" t="s">
        <v>40</v>
      </c>
      <c r="D40" s="9" t="s">
        <v>71</v>
      </c>
      <c r="E40" s="2" t="s">
        <v>110</v>
      </c>
    </row>
    <row r="41" spans="1:5" hidden="1" x14ac:dyDescent="0.3">
      <c r="A41" s="2">
        <v>40</v>
      </c>
      <c r="B41" s="2" t="s">
        <v>44</v>
      </c>
      <c r="C41" s="2" t="s">
        <v>40</v>
      </c>
      <c r="D41" s="9" t="s">
        <v>71</v>
      </c>
      <c r="E41" s="2" t="s">
        <v>110</v>
      </c>
    </row>
    <row r="42" spans="1:5" hidden="1" x14ac:dyDescent="0.3">
      <c r="A42" s="2">
        <v>41</v>
      </c>
      <c r="B42" s="2" t="s">
        <v>45</v>
      </c>
      <c r="C42" s="2" t="s">
        <v>40</v>
      </c>
      <c r="D42" s="9" t="s">
        <v>71</v>
      </c>
      <c r="E42" s="2" t="s">
        <v>110</v>
      </c>
    </row>
    <row r="43" spans="1:5" hidden="1" x14ac:dyDescent="0.3">
      <c r="A43" s="2">
        <v>42</v>
      </c>
      <c r="B43" s="2" t="s">
        <v>46</v>
      </c>
      <c r="C43" s="2" t="s">
        <v>40</v>
      </c>
      <c r="D43" s="9" t="s">
        <v>71</v>
      </c>
      <c r="E43" s="2" t="s">
        <v>110</v>
      </c>
    </row>
    <row r="44" spans="1:5" hidden="1" x14ac:dyDescent="0.3">
      <c r="A44" s="2">
        <v>43</v>
      </c>
      <c r="B44" s="2" t="s">
        <v>47</v>
      </c>
      <c r="C44" s="2" t="s">
        <v>40</v>
      </c>
      <c r="D44" s="9" t="s">
        <v>71</v>
      </c>
      <c r="E44" s="2" t="s">
        <v>110</v>
      </c>
    </row>
    <row r="45" spans="1:5" hidden="1" x14ac:dyDescent="0.3">
      <c r="A45" s="2">
        <v>44</v>
      </c>
      <c r="B45" s="2" t="s">
        <v>48</v>
      </c>
      <c r="C45" s="2" t="s">
        <v>40</v>
      </c>
      <c r="D45" s="9" t="s">
        <v>71</v>
      </c>
      <c r="E45" s="2" t="s">
        <v>110</v>
      </c>
    </row>
    <row r="46" spans="1:5" hidden="1" x14ac:dyDescent="0.3">
      <c r="A46" s="2">
        <v>45</v>
      </c>
      <c r="B46" s="2" t="s">
        <v>49</v>
      </c>
      <c r="C46" s="2" t="s">
        <v>40</v>
      </c>
      <c r="D46" s="9" t="s">
        <v>71</v>
      </c>
      <c r="E46" s="2" t="s">
        <v>110</v>
      </c>
    </row>
    <row r="47" spans="1:5" hidden="1" x14ac:dyDescent="0.3">
      <c r="A47" s="2">
        <v>46</v>
      </c>
      <c r="B47" s="2" t="s">
        <v>50</v>
      </c>
      <c r="C47" s="2" t="s">
        <v>40</v>
      </c>
      <c r="D47" s="9" t="s">
        <v>71</v>
      </c>
      <c r="E47" s="2" t="s">
        <v>110</v>
      </c>
    </row>
    <row r="48" spans="1:5" hidden="1" x14ac:dyDescent="0.3">
      <c r="A48" s="2">
        <v>47</v>
      </c>
      <c r="B48" s="2" t="s">
        <v>51</v>
      </c>
      <c r="C48" s="2" t="s">
        <v>40</v>
      </c>
      <c r="D48" s="9" t="s">
        <v>71</v>
      </c>
      <c r="E48" s="2" t="s">
        <v>110</v>
      </c>
    </row>
    <row r="49" spans="1:5" hidden="1" x14ac:dyDescent="0.3">
      <c r="A49" s="2">
        <v>48</v>
      </c>
      <c r="B49" s="2" t="s">
        <v>52</v>
      </c>
      <c r="C49" s="2" t="s">
        <v>40</v>
      </c>
      <c r="D49" s="9" t="s">
        <v>71</v>
      </c>
      <c r="E49" s="2" t="s">
        <v>110</v>
      </c>
    </row>
    <row r="50" spans="1:5" hidden="1" x14ac:dyDescent="0.3">
      <c r="A50" s="2">
        <v>49</v>
      </c>
      <c r="B50" s="2" t="s">
        <v>53</v>
      </c>
      <c r="C50" s="2" t="s">
        <v>40</v>
      </c>
      <c r="D50" s="9" t="s">
        <v>71</v>
      </c>
      <c r="E50" s="2" t="s">
        <v>110</v>
      </c>
    </row>
    <row r="51" spans="1:5" hidden="1" x14ac:dyDescent="0.3">
      <c r="A51" s="2">
        <v>50</v>
      </c>
      <c r="B51" s="2" t="s">
        <v>54</v>
      </c>
      <c r="C51" s="2" t="s">
        <v>40</v>
      </c>
      <c r="D51" s="9" t="s">
        <v>71</v>
      </c>
      <c r="E51" s="2" t="s">
        <v>110</v>
      </c>
    </row>
    <row r="52" spans="1:5" hidden="1" x14ac:dyDescent="0.3">
      <c r="A52" s="2">
        <v>51</v>
      </c>
      <c r="B52" s="2" t="s">
        <v>55</v>
      </c>
      <c r="C52" s="2" t="s">
        <v>40</v>
      </c>
      <c r="D52" s="9" t="s">
        <v>71</v>
      </c>
      <c r="E52" s="2" t="s">
        <v>110</v>
      </c>
    </row>
    <row r="53" spans="1:5" hidden="1" x14ac:dyDescent="0.3">
      <c r="A53" s="2">
        <v>52</v>
      </c>
      <c r="B53" s="2" t="s">
        <v>56</v>
      </c>
      <c r="C53" s="2" t="s">
        <v>40</v>
      </c>
      <c r="D53" s="9" t="s">
        <v>71</v>
      </c>
      <c r="E53" s="2" t="s">
        <v>110</v>
      </c>
    </row>
    <row r="54" spans="1:5" hidden="1" x14ac:dyDescent="0.3">
      <c r="A54" s="2">
        <v>53</v>
      </c>
      <c r="B54" s="2" t="s">
        <v>57</v>
      </c>
      <c r="C54" s="2" t="s">
        <v>40</v>
      </c>
      <c r="D54" s="9" t="s">
        <v>71</v>
      </c>
      <c r="E54" s="2" t="s">
        <v>110</v>
      </c>
    </row>
    <row r="55" spans="1:5" hidden="1" x14ac:dyDescent="0.3">
      <c r="A55" s="2">
        <v>54</v>
      </c>
      <c r="B55" s="2" t="s">
        <v>58</v>
      </c>
      <c r="C55" s="2" t="s">
        <v>40</v>
      </c>
      <c r="D55" s="9" t="s">
        <v>71</v>
      </c>
      <c r="E55" s="2" t="s">
        <v>110</v>
      </c>
    </row>
    <row r="56" spans="1:5" hidden="1" x14ac:dyDescent="0.3">
      <c r="A56" s="2">
        <v>55</v>
      </c>
      <c r="B56" s="2" t="s">
        <v>59</v>
      </c>
      <c r="C56" s="2" t="s">
        <v>40</v>
      </c>
      <c r="D56" s="9" t="s">
        <v>71</v>
      </c>
      <c r="E56" s="2" t="s">
        <v>110</v>
      </c>
    </row>
    <row r="57" spans="1:5" hidden="1" x14ac:dyDescent="0.3">
      <c r="A57" s="2">
        <v>56</v>
      </c>
      <c r="B57" s="2" t="s">
        <v>60</v>
      </c>
      <c r="C57" s="2" t="s">
        <v>40</v>
      </c>
      <c r="D57" s="9" t="s">
        <v>71</v>
      </c>
      <c r="E57" s="2" t="s">
        <v>110</v>
      </c>
    </row>
    <row r="58" spans="1:5" hidden="1" x14ac:dyDescent="0.3">
      <c r="A58" s="2">
        <v>57</v>
      </c>
      <c r="B58" s="2" t="s">
        <v>61</v>
      </c>
      <c r="C58" s="2" t="s">
        <v>40</v>
      </c>
      <c r="D58" s="9" t="s">
        <v>71</v>
      </c>
      <c r="E58" s="2" t="s">
        <v>110</v>
      </c>
    </row>
    <row r="59" spans="1:5" hidden="1" x14ac:dyDescent="0.3">
      <c r="A59" s="2">
        <v>58</v>
      </c>
      <c r="B59" s="2" t="s">
        <v>62</v>
      </c>
      <c r="C59" s="2" t="s">
        <v>40</v>
      </c>
      <c r="D59" s="9" t="s">
        <v>71</v>
      </c>
      <c r="E59" s="2" t="s">
        <v>110</v>
      </c>
    </row>
    <row r="60" spans="1:5" hidden="1" x14ac:dyDescent="0.3">
      <c r="A60" s="2">
        <v>59</v>
      </c>
      <c r="B60" s="2" t="s">
        <v>63</v>
      </c>
      <c r="C60" s="2" t="s">
        <v>40</v>
      </c>
      <c r="D60" s="9" t="s">
        <v>71</v>
      </c>
      <c r="E60" s="2" t="s">
        <v>110</v>
      </c>
    </row>
    <row r="61" spans="1:5" hidden="1" x14ac:dyDescent="0.3">
      <c r="A61" s="2">
        <v>60</v>
      </c>
      <c r="B61" s="2" t="s">
        <v>64</v>
      </c>
      <c r="C61" s="2" t="s">
        <v>40</v>
      </c>
      <c r="D61" s="9" t="s">
        <v>71</v>
      </c>
      <c r="E61" s="2" t="s">
        <v>110</v>
      </c>
    </row>
    <row r="62" spans="1:5" hidden="1" x14ac:dyDescent="0.3">
      <c r="A62" s="2">
        <v>61</v>
      </c>
      <c r="B62" s="2" t="s">
        <v>65</v>
      </c>
      <c r="C62" s="2" t="s">
        <v>40</v>
      </c>
      <c r="D62" s="9" t="s">
        <v>71</v>
      </c>
      <c r="E62" s="2" t="s">
        <v>110</v>
      </c>
    </row>
    <row r="63" spans="1:5" hidden="1" x14ac:dyDescent="0.3">
      <c r="A63" s="2">
        <v>62</v>
      </c>
      <c r="B63" s="2" t="s">
        <v>66</v>
      </c>
      <c r="C63" s="2" t="s">
        <v>40</v>
      </c>
      <c r="D63" s="9" t="s">
        <v>71</v>
      </c>
      <c r="E63" s="2" t="s">
        <v>110</v>
      </c>
    </row>
    <row r="64" spans="1:5" hidden="1" x14ac:dyDescent="0.3">
      <c r="A64" s="2">
        <v>63</v>
      </c>
      <c r="B64" s="2" t="s">
        <v>67</v>
      </c>
      <c r="C64" s="2" t="s">
        <v>40</v>
      </c>
      <c r="D64" s="9" t="s">
        <v>71</v>
      </c>
      <c r="E64" s="2" t="s">
        <v>110</v>
      </c>
    </row>
    <row r="65" spans="1:5" hidden="1" x14ac:dyDescent="0.3">
      <c r="A65" s="2">
        <v>64</v>
      </c>
      <c r="B65" s="2" t="s">
        <v>68</v>
      </c>
      <c r="C65" s="2" t="s">
        <v>40</v>
      </c>
      <c r="D65" s="9" t="s">
        <v>71</v>
      </c>
      <c r="E65" s="2" t="s">
        <v>110</v>
      </c>
    </row>
    <row r="66" spans="1:5" hidden="1" x14ac:dyDescent="0.3">
      <c r="A66" s="2">
        <v>65</v>
      </c>
      <c r="B66" s="2" t="s">
        <v>69</v>
      </c>
      <c r="C66" s="2" t="s">
        <v>40</v>
      </c>
      <c r="D66" s="9" t="s">
        <v>71</v>
      </c>
      <c r="E66" s="2" t="s">
        <v>110</v>
      </c>
    </row>
    <row r="67" spans="1:5" hidden="1" x14ac:dyDescent="0.3">
      <c r="A67" s="2">
        <v>66</v>
      </c>
      <c r="B67" s="2" t="s">
        <v>72</v>
      </c>
      <c r="C67" s="2" t="s">
        <v>73</v>
      </c>
      <c r="D67" s="9" t="s">
        <v>71</v>
      </c>
      <c r="E67" s="2" t="s">
        <v>110</v>
      </c>
    </row>
    <row r="68" spans="1:5" hidden="1" x14ac:dyDescent="0.3">
      <c r="A68" s="2">
        <v>67</v>
      </c>
      <c r="B68" s="2" t="s">
        <v>74</v>
      </c>
      <c r="C68" s="2" t="s">
        <v>73</v>
      </c>
      <c r="D68" s="9" t="s">
        <v>71</v>
      </c>
      <c r="E68" s="2" t="s">
        <v>110</v>
      </c>
    </row>
    <row r="69" spans="1:5" hidden="1" x14ac:dyDescent="0.3">
      <c r="A69" s="2">
        <v>68</v>
      </c>
      <c r="B69" s="2" t="s">
        <v>75</v>
      </c>
      <c r="C69" s="2" t="s">
        <v>73</v>
      </c>
      <c r="D69" s="9" t="s">
        <v>71</v>
      </c>
      <c r="E69" s="2" t="s">
        <v>110</v>
      </c>
    </row>
    <row r="70" spans="1:5" hidden="1" x14ac:dyDescent="0.3">
      <c r="A70" s="2">
        <v>69</v>
      </c>
      <c r="B70" s="2" t="s">
        <v>76</v>
      </c>
      <c r="C70" s="2" t="s">
        <v>73</v>
      </c>
      <c r="D70" s="9" t="s">
        <v>71</v>
      </c>
      <c r="E70" s="2" t="s">
        <v>110</v>
      </c>
    </row>
    <row r="71" spans="1:5" hidden="1" x14ac:dyDescent="0.3">
      <c r="A71" s="2">
        <v>70</v>
      </c>
      <c r="B71" s="2" t="s">
        <v>77</v>
      </c>
      <c r="C71" s="2" t="s">
        <v>73</v>
      </c>
      <c r="D71" s="9" t="s">
        <v>71</v>
      </c>
      <c r="E71" s="2" t="s">
        <v>110</v>
      </c>
    </row>
    <row r="72" spans="1:5" hidden="1" x14ac:dyDescent="0.3">
      <c r="A72" s="2">
        <v>71</v>
      </c>
      <c r="B72" s="2" t="s">
        <v>78</v>
      </c>
      <c r="C72" s="2" t="s">
        <v>73</v>
      </c>
      <c r="D72" s="9" t="s">
        <v>71</v>
      </c>
      <c r="E72" s="2" t="s">
        <v>110</v>
      </c>
    </row>
    <row r="73" spans="1:5" hidden="1" x14ac:dyDescent="0.3">
      <c r="A73" s="2">
        <v>72</v>
      </c>
      <c r="B73" s="2" t="s">
        <v>79</v>
      </c>
      <c r="C73" s="2" t="s">
        <v>73</v>
      </c>
      <c r="D73" s="9" t="s">
        <v>71</v>
      </c>
      <c r="E73" s="2" t="s">
        <v>110</v>
      </c>
    </row>
    <row r="74" spans="1:5" hidden="1" x14ac:dyDescent="0.3">
      <c r="A74" s="2">
        <v>73</v>
      </c>
      <c r="B74" s="2" t="s">
        <v>80</v>
      </c>
      <c r="C74" s="2" t="s">
        <v>73</v>
      </c>
      <c r="D74" s="9" t="s">
        <v>71</v>
      </c>
      <c r="E74" s="2" t="s">
        <v>110</v>
      </c>
    </row>
    <row r="75" spans="1:5" hidden="1" x14ac:dyDescent="0.3">
      <c r="A75" s="2">
        <v>74</v>
      </c>
      <c r="B75" s="2" t="s">
        <v>81</v>
      </c>
      <c r="C75" s="2" t="s">
        <v>73</v>
      </c>
      <c r="D75" s="9" t="s">
        <v>71</v>
      </c>
      <c r="E75" s="2" t="s">
        <v>110</v>
      </c>
    </row>
    <row r="76" spans="1:5" hidden="1" x14ac:dyDescent="0.3">
      <c r="A76" s="2">
        <v>75</v>
      </c>
      <c r="B76" s="2" t="s">
        <v>82</v>
      </c>
      <c r="C76" s="2" t="s">
        <v>73</v>
      </c>
      <c r="D76" s="9" t="s">
        <v>71</v>
      </c>
      <c r="E76" s="2" t="s">
        <v>110</v>
      </c>
    </row>
    <row r="77" spans="1:5" hidden="1" x14ac:dyDescent="0.3">
      <c r="A77" s="2">
        <v>76</v>
      </c>
      <c r="B77" s="2" t="s">
        <v>83</v>
      </c>
      <c r="C77" s="2" t="s">
        <v>73</v>
      </c>
      <c r="D77" s="9" t="s">
        <v>71</v>
      </c>
      <c r="E77" s="2" t="s">
        <v>110</v>
      </c>
    </row>
    <row r="78" spans="1:5" hidden="1" x14ac:dyDescent="0.3">
      <c r="A78" s="2">
        <v>77</v>
      </c>
      <c r="B78" s="2" t="s">
        <v>84</v>
      </c>
      <c r="C78" s="2" t="s">
        <v>73</v>
      </c>
      <c r="D78" s="9" t="s">
        <v>71</v>
      </c>
      <c r="E78" s="2" t="s">
        <v>110</v>
      </c>
    </row>
    <row r="79" spans="1:5" hidden="1" x14ac:dyDescent="0.3">
      <c r="A79" s="2">
        <v>78</v>
      </c>
      <c r="B79" s="2" t="s">
        <v>85</v>
      </c>
      <c r="C79" s="2" t="s">
        <v>73</v>
      </c>
      <c r="D79" s="9" t="s">
        <v>71</v>
      </c>
      <c r="E79" s="2" t="s">
        <v>110</v>
      </c>
    </row>
    <row r="80" spans="1:5" hidden="1" x14ac:dyDescent="0.3">
      <c r="A80" s="2">
        <v>79</v>
      </c>
      <c r="B80" s="2" t="s">
        <v>86</v>
      </c>
      <c r="C80" s="2" t="s">
        <v>73</v>
      </c>
      <c r="D80" s="9" t="s">
        <v>71</v>
      </c>
      <c r="E80" s="2" t="s">
        <v>110</v>
      </c>
    </row>
    <row r="81" spans="1:12" hidden="1" x14ac:dyDescent="0.3">
      <c r="A81" s="2">
        <v>80</v>
      </c>
      <c r="B81" s="2" t="s">
        <v>87</v>
      </c>
      <c r="C81" s="2" t="s">
        <v>73</v>
      </c>
      <c r="D81" s="9" t="s">
        <v>71</v>
      </c>
      <c r="E81" s="2" t="s">
        <v>110</v>
      </c>
    </row>
    <row r="82" spans="1:12" hidden="1" x14ac:dyDescent="0.3">
      <c r="A82" s="2">
        <v>81</v>
      </c>
      <c r="B82" s="2" t="s">
        <v>88</v>
      </c>
      <c r="C82" s="2" t="s">
        <v>73</v>
      </c>
      <c r="D82" s="9" t="s">
        <v>71</v>
      </c>
      <c r="E82" s="2" t="s">
        <v>110</v>
      </c>
    </row>
    <row r="83" spans="1:12" hidden="1" x14ac:dyDescent="0.3">
      <c r="A83" s="2">
        <v>82</v>
      </c>
      <c r="B83" s="2" t="s">
        <v>89</v>
      </c>
      <c r="C83" s="2" t="s">
        <v>73</v>
      </c>
      <c r="D83" s="9" t="s">
        <v>71</v>
      </c>
      <c r="E83" s="2" t="s">
        <v>110</v>
      </c>
    </row>
    <row r="84" spans="1:12" hidden="1" x14ac:dyDescent="0.3">
      <c r="A84" s="2">
        <v>83</v>
      </c>
      <c r="B84" s="2" t="s">
        <v>90</v>
      </c>
      <c r="C84" s="2" t="s">
        <v>73</v>
      </c>
      <c r="D84" s="9" t="s">
        <v>71</v>
      </c>
      <c r="E84" s="2" t="s">
        <v>110</v>
      </c>
    </row>
    <row r="85" spans="1:12" hidden="1" x14ac:dyDescent="0.3">
      <c r="A85" s="2">
        <v>84</v>
      </c>
      <c r="B85" s="2" t="s">
        <v>91</v>
      </c>
      <c r="C85" s="2" t="s">
        <v>73</v>
      </c>
      <c r="D85" s="9" t="s">
        <v>71</v>
      </c>
      <c r="E85" s="2" t="s">
        <v>110</v>
      </c>
    </row>
    <row r="86" spans="1:12" hidden="1" x14ac:dyDescent="0.3">
      <c r="A86" s="2">
        <v>85</v>
      </c>
      <c r="B86" s="2" t="s">
        <v>92</v>
      </c>
      <c r="C86" s="2" t="s">
        <v>73</v>
      </c>
      <c r="D86" s="9" t="s">
        <v>71</v>
      </c>
      <c r="E86" s="2" t="s">
        <v>110</v>
      </c>
    </row>
    <row r="87" spans="1:12" hidden="1" x14ac:dyDescent="0.3">
      <c r="A87" s="2">
        <v>86</v>
      </c>
      <c r="B87" s="2" t="s">
        <v>93</v>
      </c>
      <c r="C87" s="2" t="s">
        <v>73</v>
      </c>
      <c r="D87" s="9" t="s">
        <v>71</v>
      </c>
      <c r="E87" s="2" t="s">
        <v>110</v>
      </c>
    </row>
    <row r="88" spans="1:12" hidden="1" x14ac:dyDescent="0.3">
      <c r="A88" s="2">
        <v>87</v>
      </c>
      <c r="B88" s="2" t="s">
        <v>94</v>
      </c>
      <c r="C88" s="2" t="s">
        <v>40</v>
      </c>
      <c r="D88" s="9" t="s">
        <v>71</v>
      </c>
      <c r="E88" s="2" t="s">
        <v>110</v>
      </c>
    </row>
    <row r="89" spans="1:12" hidden="1" x14ac:dyDescent="0.3">
      <c r="A89" s="2">
        <v>88</v>
      </c>
      <c r="B89" s="2" t="s">
        <v>95</v>
      </c>
      <c r="C89" s="2" t="s">
        <v>40</v>
      </c>
      <c r="D89" s="9" t="s">
        <v>71</v>
      </c>
      <c r="E89" s="2" t="s">
        <v>110</v>
      </c>
    </row>
    <row r="90" spans="1:12" hidden="1" x14ac:dyDescent="0.3">
      <c r="A90" s="2">
        <v>89</v>
      </c>
      <c r="B90" s="2" t="s">
        <v>96</v>
      </c>
      <c r="C90" s="2" t="s">
        <v>40</v>
      </c>
      <c r="D90" s="9" t="s">
        <v>71</v>
      </c>
      <c r="E90" s="2" t="s">
        <v>110</v>
      </c>
    </row>
    <row r="91" spans="1:12" hidden="1" x14ac:dyDescent="0.3">
      <c r="A91" s="2">
        <v>90</v>
      </c>
      <c r="B91" s="2" t="s">
        <v>97</v>
      </c>
      <c r="C91" s="2" t="s">
        <v>73</v>
      </c>
      <c r="D91" s="9" t="s">
        <v>71</v>
      </c>
      <c r="E91" s="2" t="s">
        <v>110</v>
      </c>
    </row>
    <row r="92" spans="1:12" hidden="1" x14ac:dyDescent="0.3">
      <c r="A92" s="2">
        <v>91</v>
      </c>
      <c r="B92" s="2" t="s">
        <v>98</v>
      </c>
      <c r="C92" s="2" t="s">
        <v>73</v>
      </c>
      <c r="D92" s="9" t="s">
        <v>71</v>
      </c>
      <c r="E92" s="2" t="s">
        <v>110</v>
      </c>
    </row>
    <row r="93" spans="1:12" hidden="1" x14ac:dyDescent="0.3">
      <c r="A93" s="2">
        <v>92</v>
      </c>
      <c r="B93" s="2" t="s">
        <v>99</v>
      </c>
      <c r="C93" s="2" t="s">
        <v>73</v>
      </c>
      <c r="D93" s="9" t="s">
        <v>71</v>
      </c>
      <c r="E93" s="2" t="s">
        <v>110</v>
      </c>
    </row>
    <row r="94" spans="1:12" hidden="1" x14ac:dyDescent="0.3">
      <c r="A94" s="2">
        <v>93</v>
      </c>
      <c r="B94" s="2" t="s">
        <v>100</v>
      </c>
      <c r="C94" s="2" t="s">
        <v>73</v>
      </c>
      <c r="D94" s="9" t="s">
        <v>71</v>
      </c>
      <c r="E94" s="2" t="s">
        <v>110</v>
      </c>
    </row>
    <row r="95" spans="1:12" hidden="1" x14ac:dyDescent="0.3">
      <c r="A95" s="2">
        <v>94</v>
      </c>
      <c r="B95" s="2" t="s">
        <v>101</v>
      </c>
      <c r="C95" s="2" t="s">
        <v>40</v>
      </c>
      <c r="D95" s="9" t="s">
        <v>71</v>
      </c>
      <c r="E95" s="2" t="s">
        <v>110</v>
      </c>
    </row>
    <row r="96" spans="1:12" hidden="1" x14ac:dyDescent="0.3">
      <c r="A96" s="2">
        <v>95</v>
      </c>
      <c r="B96" s="2" t="s">
        <v>102</v>
      </c>
      <c r="C96" s="2" t="s">
        <v>108</v>
      </c>
      <c r="D96" s="9" t="s">
        <v>71</v>
      </c>
      <c r="E96" s="2" t="s">
        <v>110</v>
      </c>
      <c r="F96" s="11"/>
      <c r="G96" s="8"/>
      <c r="H96" s="8"/>
      <c r="I96" s="8"/>
      <c r="J96" s="8"/>
      <c r="K96" s="8"/>
      <c r="L96" s="14"/>
    </row>
    <row r="97" spans="1:12" hidden="1" x14ac:dyDescent="0.3">
      <c r="A97" s="2">
        <v>96</v>
      </c>
      <c r="B97" s="2" t="s">
        <v>103</v>
      </c>
      <c r="C97" s="2" t="s">
        <v>108</v>
      </c>
      <c r="D97" s="9" t="s">
        <v>71</v>
      </c>
      <c r="E97" s="2" t="s">
        <v>110</v>
      </c>
      <c r="F97" s="5"/>
      <c r="G97" s="3"/>
      <c r="H97" s="3"/>
      <c r="I97" s="3"/>
      <c r="J97" s="3"/>
      <c r="K97" s="3"/>
      <c r="L97" s="9"/>
    </row>
    <row r="98" spans="1:12" hidden="1" x14ac:dyDescent="0.3">
      <c r="A98" s="2">
        <v>97</v>
      </c>
      <c r="B98" s="2" t="s">
        <v>104</v>
      </c>
      <c r="C98" s="2" t="s">
        <v>73</v>
      </c>
      <c r="D98" s="9" t="s">
        <v>71</v>
      </c>
      <c r="E98" s="2" t="s">
        <v>110</v>
      </c>
      <c r="F98" s="5"/>
      <c r="G98" s="3"/>
      <c r="H98" s="3"/>
      <c r="I98" s="3"/>
      <c r="J98" s="3"/>
      <c r="K98" s="3"/>
      <c r="L98" s="9"/>
    </row>
    <row r="99" spans="1:12" hidden="1" x14ac:dyDescent="0.3">
      <c r="A99" s="2">
        <v>98</v>
      </c>
      <c r="B99" s="2" t="s">
        <v>105</v>
      </c>
      <c r="C99" s="2" t="s">
        <v>108</v>
      </c>
      <c r="D99" s="9" t="s">
        <v>71</v>
      </c>
      <c r="E99" s="2" t="s">
        <v>110</v>
      </c>
      <c r="F99" s="5"/>
      <c r="G99" s="3"/>
      <c r="H99" s="3"/>
      <c r="I99" s="3"/>
      <c r="J99" s="3"/>
      <c r="K99" s="3"/>
      <c r="L99" s="9"/>
    </row>
    <row r="100" spans="1:12" hidden="1" x14ac:dyDescent="0.3">
      <c r="A100" s="2">
        <v>99</v>
      </c>
      <c r="B100" s="2" t="s">
        <v>106</v>
      </c>
      <c r="C100" s="2" t="s">
        <v>108</v>
      </c>
      <c r="D100" s="9" t="s">
        <v>71</v>
      </c>
      <c r="E100" s="2" t="s">
        <v>110</v>
      </c>
      <c r="F100" s="5"/>
      <c r="G100" s="3"/>
      <c r="H100" s="3"/>
      <c r="I100" s="3"/>
      <c r="J100" s="3"/>
      <c r="K100" s="3"/>
      <c r="L100" s="9"/>
    </row>
    <row r="101" spans="1:12" hidden="1" x14ac:dyDescent="0.3">
      <c r="A101" s="2">
        <v>100</v>
      </c>
      <c r="B101" s="2" t="s">
        <v>107</v>
      </c>
      <c r="C101" s="2" t="s">
        <v>4</v>
      </c>
      <c r="D101" s="9" t="s">
        <v>71</v>
      </c>
      <c r="E101" s="2" t="s">
        <v>110</v>
      </c>
      <c r="F101" s="5"/>
      <c r="G101" s="3"/>
      <c r="H101" s="3"/>
      <c r="I101" s="3"/>
      <c r="J101" s="3"/>
      <c r="K101" s="3"/>
      <c r="L101" s="9"/>
    </row>
    <row r="102" spans="1:12" hidden="1" x14ac:dyDescent="0.3">
      <c r="A102" s="2">
        <v>101</v>
      </c>
      <c r="B102" s="2" t="s">
        <v>111</v>
      </c>
      <c r="C102" s="2" t="s">
        <v>4</v>
      </c>
      <c r="D102" s="9" t="s">
        <v>208</v>
      </c>
      <c r="E102" s="2" t="s">
        <v>110</v>
      </c>
      <c r="F102" s="5"/>
      <c r="G102" s="3"/>
      <c r="H102" s="3"/>
      <c r="I102" s="3"/>
      <c r="J102" s="3"/>
      <c r="K102" s="3"/>
      <c r="L102" s="9"/>
    </row>
    <row r="103" spans="1:12" hidden="1" x14ac:dyDescent="0.3">
      <c r="A103" s="2">
        <v>102</v>
      </c>
      <c r="B103" s="2" t="s">
        <v>112</v>
      </c>
      <c r="C103" s="2" t="s">
        <v>4</v>
      </c>
      <c r="D103" s="9" t="s">
        <v>208</v>
      </c>
      <c r="E103" s="2" t="s">
        <v>110</v>
      </c>
      <c r="F103" s="5"/>
      <c r="G103" s="3"/>
      <c r="H103" s="3"/>
      <c r="I103" s="3"/>
      <c r="J103" s="3"/>
      <c r="K103" s="3"/>
      <c r="L103" s="9"/>
    </row>
    <row r="104" spans="1:12" hidden="1" x14ac:dyDescent="0.3">
      <c r="A104" s="2">
        <v>103</v>
      </c>
      <c r="B104" s="2" t="s">
        <v>113</v>
      </c>
      <c r="C104" s="2" t="s">
        <v>4</v>
      </c>
      <c r="D104" s="9" t="s">
        <v>208</v>
      </c>
      <c r="E104" s="2" t="s">
        <v>110</v>
      </c>
      <c r="F104" s="5"/>
      <c r="G104" s="3"/>
      <c r="H104" s="3"/>
      <c r="I104" s="3"/>
      <c r="J104" s="3"/>
      <c r="K104" s="3"/>
      <c r="L104" s="9"/>
    </row>
    <row r="105" spans="1:12" hidden="1" x14ac:dyDescent="0.3">
      <c r="A105" s="2">
        <v>104</v>
      </c>
      <c r="B105" s="2" t="s">
        <v>114</v>
      </c>
      <c r="C105" s="2" t="s">
        <v>4</v>
      </c>
      <c r="D105" s="9" t="s">
        <v>208</v>
      </c>
      <c r="E105" s="2" t="s">
        <v>110</v>
      </c>
      <c r="F105" s="5"/>
      <c r="G105" s="3"/>
      <c r="H105" s="3"/>
      <c r="I105" s="3"/>
      <c r="J105" s="3"/>
      <c r="K105" s="3"/>
      <c r="L105" s="9"/>
    </row>
    <row r="106" spans="1:12" hidden="1" x14ac:dyDescent="0.3">
      <c r="A106" s="2">
        <v>105</v>
      </c>
      <c r="B106" s="2" t="s">
        <v>115</v>
      </c>
      <c r="C106" s="2" t="s">
        <v>4</v>
      </c>
      <c r="D106" s="9" t="s">
        <v>208</v>
      </c>
      <c r="E106" s="2" t="s">
        <v>110</v>
      </c>
      <c r="F106" s="5"/>
      <c r="G106" s="3"/>
      <c r="H106" s="3"/>
      <c r="I106" s="3"/>
      <c r="J106" s="3"/>
      <c r="K106" s="3"/>
      <c r="L106" s="9"/>
    </row>
    <row r="107" spans="1:12" hidden="1" x14ac:dyDescent="0.3">
      <c r="A107" s="2">
        <v>106</v>
      </c>
      <c r="B107" s="2" t="s">
        <v>116</v>
      </c>
      <c r="C107" s="2" t="s">
        <v>4</v>
      </c>
      <c r="D107" s="9" t="s">
        <v>208</v>
      </c>
      <c r="E107" s="2" t="s">
        <v>110</v>
      </c>
      <c r="F107" s="5"/>
      <c r="G107" s="3"/>
      <c r="H107" s="3"/>
      <c r="I107" s="3"/>
      <c r="J107" s="3"/>
      <c r="K107" s="3"/>
      <c r="L107" s="9"/>
    </row>
    <row r="108" spans="1:12" hidden="1" x14ac:dyDescent="0.3">
      <c r="A108" s="2">
        <v>107</v>
      </c>
      <c r="B108" s="2" t="s">
        <v>117</v>
      </c>
      <c r="C108" s="2" t="s">
        <v>4</v>
      </c>
      <c r="D108" s="9" t="s">
        <v>208</v>
      </c>
      <c r="E108" s="2" t="s">
        <v>110</v>
      </c>
      <c r="F108" s="5"/>
      <c r="G108" s="3"/>
      <c r="H108" s="3"/>
      <c r="I108" s="3"/>
      <c r="J108" s="3"/>
      <c r="K108" s="3"/>
      <c r="L108" s="9"/>
    </row>
    <row r="109" spans="1:12" hidden="1" x14ac:dyDescent="0.3">
      <c r="A109" s="2">
        <v>108</v>
      </c>
      <c r="B109" s="2" t="s">
        <v>118</v>
      </c>
      <c r="C109" s="2" t="s">
        <v>4</v>
      </c>
      <c r="D109" s="9" t="s">
        <v>208</v>
      </c>
      <c r="E109" s="2" t="s">
        <v>110</v>
      </c>
      <c r="F109" s="5"/>
      <c r="G109" s="3"/>
      <c r="H109" s="3"/>
      <c r="I109" s="3"/>
      <c r="J109" s="3"/>
      <c r="K109" s="3"/>
      <c r="L109" s="9"/>
    </row>
    <row r="110" spans="1:12" hidden="1" x14ac:dyDescent="0.3">
      <c r="A110" s="2">
        <v>109</v>
      </c>
      <c r="B110" s="2" t="s">
        <v>119</v>
      </c>
      <c r="C110" s="2" t="s">
        <v>4</v>
      </c>
      <c r="D110" s="9" t="s">
        <v>208</v>
      </c>
      <c r="E110" s="2" t="s">
        <v>110</v>
      </c>
      <c r="F110" s="5"/>
      <c r="G110" s="3"/>
      <c r="H110" s="3"/>
      <c r="I110" s="3"/>
      <c r="J110" s="3"/>
      <c r="K110" s="3"/>
      <c r="L110" s="9"/>
    </row>
    <row r="111" spans="1:12" hidden="1" x14ac:dyDescent="0.3">
      <c r="A111" s="2">
        <v>110</v>
      </c>
      <c r="B111" s="2" t="s">
        <v>120</v>
      </c>
      <c r="C111" s="2" t="s">
        <v>4</v>
      </c>
      <c r="D111" s="9" t="s">
        <v>208</v>
      </c>
      <c r="E111" s="2" t="s">
        <v>110</v>
      </c>
      <c r="F111" s="5"/>
      <c r="G111" s="3"/>
      <c r="H111" s="3"/>
      <c r="I111" s="3"/>
      <c r="J111" s="3"/>
      <c r="K111" s="3"/>
      <c r="L111" s="9"/>
    </row>
    <row r="112" spans="1:12" hidden="1" x14ac:dyDescent="0.3">
      <c r="A112" s="2">
        <v>111</v>
      </c>
      <c r="B112" s="2" t="s">
        <v>121</v>
      </c>
      <c r="C112" s="2" t="s">
        <v>4</v>
      </c>
      <c r="D112" s="9" t="s">
        <v>208</v>
      </c>
      <c r="E112" s="2" t="s">
        <v>110</v>
      </c>
      <c r="F112" s="5"/>
      <c r="G112" s="3"/>
      <c r="H112" s="3"/>
      <c r="I112" s="3"/>
      <c r="J112" s="3"/>
      <c r="K112" s="3"/>
      <c r="L112" s="9"/>
    </row>
    <row r="113" spans="1:12" hidden="1" x14ac:dyDescent="0.3">
      <c r="A113" s="2">
        <v>112</v>
      </c>
      <c r="B113" s="2" t="s">
        <v>122</v>
      </c>
      <c r="C113" s="2" t="s">
        <v>4</v>
      </c>
      <c r="D113" s="9" t="s">
        <v>208</v>
      </c>
      <c r="E113" s="2" t="s">
        <v>110</v>
      </c>
      <c r="F113" s="5"/>
      <c r="G113" s="3"/>
      <c r="H113" s="3"/>
      <c r="I113" s="3"/>
      <c r="J113" s="3"/>
      <c r="K113" s="3"/>
      <c r="L113" s="9"/>
    </row>
    <row r="114" spans="1:12" hidden="1" x14ac:dyDescent="0.3">
      <c r="A114" s="2">
        <v>113</v>
      </c>
      <c r="B114" s="2" t="s">
        <v>123</v>
      </c>
      <c r="C114" s="2" t="s">
        <v>4</v>
      </c>
      <c r="D114" s="9" t="s">
        <v>208</v>
      </c>
      <c r="E114" s="2" t="s">
        <v>110</v>
      </c>
      <c r="F114" s="5"/>
      <c r="G114" s="3"/>
      <c r="H114" s="3"/>
      <c r="I114" s="3"/>
      <c r="J114" s="3"/>
      <c r="K114" s="3"/>
      <c r="L114" s="9"/>
    </row>
    <row r="115" spans="1:12" hidden="1" x14ac:dyDescent="0.3">
      <c r="A115" s="2">
        <v>114</v>
      </c>
      <c r="B115" s="2" t="s">
        <v>124</v>
      </c>
      <c r="C115" s="2" t="s">
        <v>4</v>
      </c>
      <c r="D115" s="9" t="s">
        <v>208</v>
      </c>
      <c r="E115" s="2" t="s">
        <v>110</v>
      </c>
      <c r="F115" s="5"/>
      <c r="G115" s="3"/>
      <c r="H115" s="3"/>
      <c r="I115" s="3"/>
      <c r="J115" s="3"/>
      <c r="K115" s="3"/>
      <c r="L115" s="9"/>
    </row>
    <row r="116" spans="1:12" hidden="1" x14ac:dyDescent="0.3">
      <c r="A116" s="2">
        <v>115</v>
      </c>
      <c r="B116" s="2" t="s">
        <v>125</v>
      </c>
      <c r="C116" s="2" t="s">
        <v>4</v>
      </c>
      <c r="D116" s="9" t="s">
        <v>208</v>
      </c>
      <c r="E116" s="2" t="s">
        <v>110</v>
      </c>
      <c r="F116" s="5"/>
      <c r="G116" s="3"/>
      <c r="H116" s="3"/>
      <c r="I116" s="3"/>
      <c r="J116" s="3"/>
      <c r="K116" s="3"/>
      <c r="L116" s="9"/>
    </row>
    <row r="117" spans="1:12" hidden="1" x14ac:dyDescent="0.3">
      <c r="A117" s="2">
        <v>116</v>
      </c>
      <c r="B117" s="2" t="s">
        <v>126</v>
      </c>
      <c r="C117" s="2" t="s">
        <v>127</v>
      </c>
      <c r="D117" s="9" t="s">
        <v>208</v>
      </c>
      <c r="E117" s="2" t="s">
        <v>110</v>
      </c>
      <c r="F117" s="5"/>
      <c r="G117" s="3"/>
      <c r="H117" s="3"/>
      <c r="I117" s="3"/>
      <c r="J117" s="3"/>
      <c r="K117" s="3"/>
      <c r="L117" s="9"/>
    </row>
    <row r="118" spans="1:12" hidden="1" x14ac:dyDescent="0.3">
      <c r="A118" s="2">
        <v>117</v>
      </c>
      <c r="B118" s="2" t="s">
        <v>128</v>
      </c>
      <c r="C118" s="2" t="s">
        <v>127</v>
      </c>
      <c r="D118" s="9" t="s">
        <v>208</v>
      </c>
      <c r="E118" s="2" t="s">
        <v>110</v>
      </c>
      <c r="F118" s="5"/>
      <c r="G118" s="3"/>
      <c r="H118" s="3"/>
      <c r="I118" s="3"/>
      <c r="J118" s="3"/>
      <c r="K118" s="3"/>
      <c r="L118" s="9"/>
    </row>
    <row r="119" spans="1:12" hidden="1" x14ac:dyDescent="0.3">
      <c r="A119" s="2">
        <v>118</v>
      </c>
      <c r="B119" s="2" t="s">
        <v>129</v>
      </c>
      <c r="C119" s="2" t="s">
        <v>130</v>
      </c>
      <c r="D119" s="9" t="s">
        <v>208</v>
      </c>
      <c r="E119" s="2" t="s">
        <v>110</v>
      </c>
      <c r="F119" s="5"/>
      <c r="G119" s="3"/>
      <c r="H119" s="3"/>
      <c r="I119" s="3"/>
      <c r="J119" s="3"/>
      <c r="K119" s="3"/>
      <c r="L119" s="9"/>
    </row>
    <row r="120" spans="1:12" hidden="1" x14ac:dyDescent="0.3">
      <c r="A120" s="2">
        <v>119</v>
      </c>
      <c r="B120" s="2" t="s">
        <v>131</v>
      </c>
      <c r="C120" s="2" t="s">
        <v>130</v>
      </c>
      <c r="D120" s="9" t="s">
        <v>208</v>
      </c>
      <c r="E120" s="2" t="s">
        <v>110</v>
      </c>
      <c r="F120" s="5"/>
      <c r="G120" s="3"/>
      <c r="H120" s="3"/>
      <c r="I120" s="3"/>
      <c r="J120" s="3"/>
      <c r="K120" s="3"/>
      <c r="L120" s="9"/>
    </row>
    <row r="121" spans="1:12" hidden="1" x14ac:dyDescent="0.3">
      <c r="A121" s="2">
        <v>120</v>
      </c>
      <c r="B121" s="2" t="s">
        <v>132</v>
      </c>
      <c r="C121" s="2" t="s">
        <v>4</v>
      </c>
      <c r="D121" s="9" t="s">
        <v>208</v>
      </c>
      <c r="E121" s="2" t="s">
        <v>110</v>
      </c>
      <c r="F121" s="5"/>
      <c r="G121" s="3"/>
      <c r="H121" s="3"/>
      <c r="I121" s="3"/>
      <c r="J121" s="3"/>
      <c r="K121" s="3"/>
      <c r="L121" s="9"/>
    </row>
    <row r="122" spans="1:12" hidden="1" x14ac:dyDescent="0.3">
      <c r="A122" s="2">
        <v>121</v>
      </c>
      <c r="B122" s="2" t="s">
        <v>133</v>
      </c>
      <c r="C122" s="2" t="s">
        <v>130</v>
      </c>
      <c r="D122" s="9" t="s">
        <v>208</v>
      </c>
      <c r="E122" s="2" t="s">
        <v>110</v>
      </c>
      <c r="F122" s="5"/>
      <c r="G122" s="3"/>
      <c r="H122" s="3"/>
      <c r="I122" s="3"/>
      <c r="J122" s="3"/>
      <c r="K122" s="3"/>
      <c r="L122" s="9"/>
    </row>
    <row r="123" spans="1:12" hidden="1" x14ac:dyDescent="0.3">
      <c r="A123" s="2">
        <v>122</v>
      </c>
      <c r="B123" s="2" t="s">
        <v>134</v>
      </c>
      <c r="C123" s="2" t="s">
        <v>130</v>
      </c>
      <c r="D123" s="9" t="s">
        <v>208</v>
      </c>
      <c r="E123" s="2" t="s">
        <v>110</v>
      </c>
      <c r="F123" s="5"/>
      <c r="G123" s="3"/>
      <c r="H123" s="3"/>
      <c r="I123" s="3"/>
      <c r="J123" s="3"/>
      <c r="K123" s="3"/>
      <c r="L123" s="9"/>
    </row>
    <row r="124" spans="1:12" hidden="1" x14ac:dyDescent="0.3">
      <c r="A124" s="2">
        <v>123</v>
      </c>
      <c r="B124" s="2" t="s">
        <v>135</v>
      </c>
      <c r="C124" s="2" t="s">
        <v>130</v>
      </c>
      <c r="D124" s="9" t="s">
        <v>208</v>
      </c>
      <c r="E124" s="2" t="s">
        <v>110</v>
      </c>
      <c r="F124" s="5"/>
      <c r="G124" s="3"/>
      <c r="H124" s="3"/>
      <c r="I124" s="3"/>
      <c r="J124" s="3"/>
      <c r="K124" s="3"/>
      <c r="L124" s="9"/>
    </row>
    <row r="125" spans="1:12" hidden="1" x14ac:dyDescent="0.3">
      <c r="A125" s="2">
        <v>124</v>
      </c>
      <c r="B125" s="2" t="s">
        <v>136</v>
      </c>
      <c r="C125" s="2" t="s">
        <v>4</v>
      </c>
      <c r="D125" s="9" t="s">
        <v>208</v>
      </c>
      <c r="E125" s="2" t="s">
        <v>110</v>
      </c>
      <c r="F125" s="5"/>
      <c r="G125" s="3"/>
      <c r="H125" s="3"/>
      <c r="I125" s="3"/>
      <c r="J125" s="3"/>
      <c r="K125" s="3"/>
      <c r="L125" s="9"/>
    </row>
    <row r="126" spans="1:12" hidden="1" x14ac:dyDescent="0.3">
      <c r="A126" s="2">
        <v>125</v>
      </c>
      <c r="B126" s="2" t="s">
        <v>137</v>
      </c>
      <c r="C126" s="2" t="s">
        <v>130</v>
      </c>
      <c r="D126" s="9" t="s">
        <v>208</v>
      </c>
      <c r="E126" s="2" t="s">
        <v>110</v>
      </c>
      <c r="F126" s="5"/>
      <c r="G126" s="3"/>
      <c r="H126" s="3"/>
      <c r="I126" s="3"/>
      <c r="J126" s="3"/>
      <c r="K126" s="3"/>
      <c r="L126" s="9"/>
    </row>
    <row r="127" spans="1:12" hidden="1" x14ac:dyDescent="0.3">
      <c r="A127" s="2">
        <v>126</v>
      </c>
      <c r="B127" s="2" t="s">
        <v>138</v>
      </c>
      <c r="C127" s="2" t="s">
        <v>130</v>
      </c>
      <c r="D127" s="9" t="s">
        <v>208</v>
      </c>
      <c r="E127" s="2" t="s">
        <v>110</v>
      </c>
      <c r="F127" s="5"/>
      <c r="G127" s="3"/>
      <c r="H127" s="3"/>
      <c r="I127" s="3"/>
      <c r="J127" s="3"/>
      <c r="K127" s="3"/>
      <c r="L127" s="9"/>
    </row>
    <row r="128" spans="1:12" hidden="1" x14ac:dyDescent="0.3">
      <c r="A128" s="2">
        <v>127</v>
      </c>
      <c r="B128" s="2" t="s">
        <v>139</v>
      </c>
      <c r="C128" s="2" t="s">
        <v>73</v>
      </c>
      <c r="D128" s="9" t="s">
        <v>208</v>
      </c>
      <c r="E128" s="2" t="s">
        <v>110</v>
      </c>
      <c r="F128" s="5"/>
      <c r="G128" s="3"/>
      <c r="H128" s="3"/>
      <c r="I128" s="3"/>
      <c r="J128" s="3"/>
      <c r="K128" s="3"/>
      <c r="L128" s="9"/>
    </row>
    <row r="129" spans="1:12" hidden="1" x14ac:dyDescent="0.3">
      <c r="A129" s="2">
        <v>128</v>
      </c>
      <c r="B129" s="2" t="s">
        <v>140</v>
      </c>
      <c r="C129" s="2" t="s">
        <v>130</v>
      </c>
      <c r="D129" s="9" t="s">
        <v>208</v>
      </c>
      <c r="E129" s="2" t="s">
        <v>110</v>
      </c>
      <c r="F129" s="5"/>
      <c r="G129" s="3"/>
      <c r="H129" s="3"/>
      <c r="I129" s="3"/>
      <c r="J129" s="3"/>
      <c r="K129" s="3"/>
      <c r="L129" s="9"/>
    </row>
    <row r="130" spans="1:12" hidden="1" x14ac:dyDescent="0.3">
      <c r="A130" s="2">
        <v>129</v>
      </c>
      <c r="B130" s="2" t="s">
        <v>141</v>
      </c>
      <c r="C130" s="2" t="s">
        <v>73</v>
      </c>
      <c r="D130" s="9" t="s">
        <v>208</v>
      </c>
      <c r="E130" s="2" t="s">
        <v>110</v>
      </c>
      <c r="F130" s="5"/>
      <c r="G130" s="3"/>
      <c r="H130" s="3"/>
      <c r="I130" s="3"/>
      <c r="J130" s="3"/>
      <c r="K130" s="3"/>
      <c r="L130" s="9"/>
    </row>
    <row r="131" spans="1:12" hidden="1" x14ac:dyDescent="0.3">
      <c r="A131" s="2">
        <v>130</v>
      </c>
      <c r="B131" s="2" t="s">
        <v>142</v>
      </c>
      <c r="C131" s="2" t="s">
        <v>73</v>
      </c>
      <c r="D131" s="9" t="s">
        <v>208</v>
      </c>
      <c r="E131" s="2" t="s">
        <v>110</v>
      </c>
      <c r="F131" s="5"/>
      <c r="G131" s="3"/>
      <c r="H131" s="3"/>
      <c r="I131" s="3"/>
      <c r="J131" s="3"/>
      <c r="K131" s="3"/>
      <c r="L131" s="9"/>
    </row>
    <row r="132" spans="1:12" hidden="1" x14ac:dyDescent="0.3">
      <c r="A132" s="2">
        <v>131</v>
      </c>
      <c r="B132" s="2" t="s">
        <v>143</v>
      </c>
      <c r="C132" s="2" t="s">
        <v>130</v>
      </c>
      <c r="D132" s="9" t="s">
        <v>208</v>
      </c>
      <c r="E132" s="2" t="s">
        <v>110</v>
      </c>
      <c r="F132" s="5"/>
      <c r="G132" s="3"/>
      <c r="H132" s="3"/>
      <c r="I132" s="3"/>
      <c r="J132" s="3"/>
      <c r="K132" s="3"/>
      <c r="L132" s="9"/>
    </row>
    <row r="133" spans="1:12" hidden="1" x14ac:dyDescent="0.3">
      <c r="A133" s="2">
        <v>132</v>
      </c>
      <c r="B133" s="2" t="s">
        <v>144</v>
      </c>
      <c r="C133" s="2" t="s">
        <v>130</v>
      </c>
      <c r="D133" s="9" t="s">
        <v>208</v>
      </c>
      <c r="E133" s="2" t="s">
        <v>110</v>
      </c>
      <c r="F133" s="5"/>
      <c r="G133" s="3"/>
      <c r="H133" s="3"/>
      <c r="I133" s="3"/>
      <c r="J133" s="3"/>
      <c r="K133" s="3"/>
      <c r="L133" s="9"/>
    </row>
    <row r="134" spans="1:12" hidden="1" x14ac:dyDescent="0.3">
      <c r="A134" s="2">
        <v>133</v>
      </c>
      <c r="B134" s="2" t="s">
        <v>145</v>
      </c>
      <c r="C134" s="2" t="s">
        <v>130</v>
      </c>
      <c r="D134" s="9" t="s">
        <v>208</v>
      </c>
      <c r="E134" s="2" t="s">
        <v>110</v>
      </c>
      <c r="F134" s="5"/>
      <c r="G134" s="3"/>
      <c r="H134" s="3"/>
      <c r="I134" s="3"/>
      <c r="J134" s="3"/>
      <c r="K134" s="3"/>
      <c r="L134" s="9"/>
    </row>
    <row r="135" spans="1:12" hidden="1" x14ac:dyDescent="0.3">
      <c r="A135" s="2">
        <v>134</v>
      </c>
      <c r="B135" s="2" t="s">
        <v>146</v>
      </c>
      <c r="C135" s="2" t="s">
        <v>4</v>
      </c>
      <c r="D135" s="9" t="s">
        <v>208</v>
      </c>
      <c r="E135" s="2" t="s">
        <v>110</v>
      </c>
      <c r="F135" s="5"/>
      <c r="G135" s="3"/>
      <c r="H135" s="3"/>
      <c r="I135" s="3"/>
      <c r="J135" s="3"/>
      <c r="K135" s="3"/>
      <c r="L135" s="9"/>
    </row>
    <row r="136" spans="1:12" hidden="1" x14ac:dyDescent="0.3">
      <c r="A136" s="2">
        <v>135</v>
      </c>
      <c r="B136" s="2" t="s">
        <v>147</v>
      </c>
      <c r="C136" s="2" t="s">
        <v>130</v>
      </c>
      <c r="D136" s="9" t="s">
        <v>208</v>
      </c>
      <c r="E136" s="2" t="s">
        <v>110</v>
      </c>
      <c r="F136" s="5"/>
      <c r="G136" s="3"/>
      <c r="H136" s="3"/>
      <c r="I136" s="3"/>
      <c r="J136" s="3"/>
      <c r="K136" s="3"/>
      <c r="L136" s="9"/>
    </row>
    <row r="137" spans="1:12" hidden="1" x14ac:dyDescent="0.3">
      <c r="A137" s="2">
        <v>136</v>
      </c>
      <c r="B137" s="2" t="s">
        <v>148</v>
      </c>
      <c r="C137" s="2" t="s">
        <v>130</v>
      </c>
      <c r="D137" s="9" t="s">
        <v>208</v>
      </c>
      <c r="E137" s="2" t="s">
        <v>110</v>
      </c>
      <c r="F137" s="5"/>
      <c r="G137" s="3"/>
      <c r="H137" s="3"/>
      <c r="I137" s="3"/>
      <c r="J137" s="3"/>
      <c r="K137" s="3"/>
      <c r="L137" s="9"/>
    </row>
    <row r="138" spans="1:12" hidden="1" x14ac:dyDescent="0.3">
      <c r="A138" s="2">
        <v>137</v>
      </c>
      <c r="B138" s="2" t="s">
        <v>149</v>
      </c>
      <c r="C138" s="2" t="s">
        <v>130</v>
      </c>
      <c r="D138" s="9" t="s">
        <v>208</v>
      </c>
      <c r="E138" s="2" t="s">
        <v>110</v>
      </c>
    </row>
    <row r="139" spans="1:12" hidden="1" x14ac:dyDescent="0.3">
      <c r="A139" s="2">
        <v>138</v>
      </c>
      <c r="B139" s="2" t="s">
        <v>150</v>
      </c>
      <c r="C139" s="2" t="s">
        <v>73</v>
      </c>
      <c r="D139" s="9" t="s">
        <v>208</v>
      </c>
      <c r="E139" s="2" t="s">
        <v>110</v>
      </c>
    </row>
    <row r="140" spans="1:12" hidden="1" x14ac:dyDescent="0.3">
      <c r="A140" s="2">
        <v>139</v>
      </c>
      <c r="B140" s="2" t="s">
        <v>151</v>
      </c>
      <c r="C140" s="2" t="s">
        <v>130</v>
      </c>
      <c r="D140" s="9" t="s">
        <v>208</v>
      </c>
      <c r="E140" s="2" t="s">
        <v>110</v>
      </c>
    </row>
    <row r="141" spans="1:12" hidden="1" x14ac:dyDescent="0.3">
      <c r="A141" s="2">
        <v>140</v>
      </c>
      <c r="B141" s="2" t="s">
        <v>152</v>
      </c>
      <c r="C141" s="2" t="s">
        <v>130</v>
      </c>
      <c r="D141" s="9" t="s">
        <v>208</v>
      </c>
      <c r="E141" s="2" t="s">
        <v>110</v>
      </c>
    </row>
    <row r="142" spans="1:12" hidden="1" x14ac:dyDescent="0.3">
      <c r="A142" s="2">
        <v>141</v>
      </c>
      <c r="B142" s="2" t="s">
        <v>153</v>
      </c>
      <c r="C142" s="2" t="s">
        <v>130</v>
      </c>
      <c r="D142" s="9" t="s">
        <v>208</v>
      </c>
      <c r="E142" s="2" t="s">
        <v>110</v>
      </c>
    </row>
    <row r="143" spans="1:12" hidden="1" x14ac:dyDescent="0.3">
      <c r="A143" s="2">
        <v>142</v>
      </c>
      <c r="B143" s="2" t="s">
        <v>154</v>
      </c>
      <c r="C143" s="2" t="s">
        <v>130</v>
      </c>
      <c r="D143" s="9" t="s">
        <v>208</v>
      </c>
      <c r="E143" s="2" t="s">
        <v>110</v>
      </c>
    </row>
    <row r="144" spans="1:12" hidden="1" x14ac:dyDescent="0.3">
      <c r="A144" s="2">
        <v>143</v>
      </c>
      <c r="B144" s="2" t="s">
        <v>155</v>
      </c>
      <c r="C144" s="2" t="s">
        <v>130</v>
      </c>
      <c r="D144" s="9" t="s">
        <v>208</v>
      </c>
      <c r="E144" s="2" t="s">
        <v>110</v>
      </c>
    </row>
    <row r="145" spans="1:5" hidden="1" x14ac:dyDescent="0.3">
      <c r="A145" s="2">
        <v>144</v>
      </c>
      <c r="B145" s="2" t="s">
        <v>156</v>
      </c>
      <c r="C145" s="2" t="s">
        <v>130</v>
      </c>
      <c r="D145" s="9" t="s">
        <v>208</v>
      </c>
      <c r="E145" s="2" t="s">
        <v>110</v>
      </c>
    </row>
    <row r="146" spans="1:5" hidden="1" x14ac:dyDescent="0.3">
      <c r="A146" s="2">
        <v>145</v>
      </c>
      <c r="B146" s="2" t="s">
        <v>157</v>
      </c>
      <c r="C146" s="2" t="s">
        <v>130</v>
      </c>
      <c r="D146" s="9" t="s">
        <v>208</v>
      </c>
      <c r="E146" s="2" t="s">
        <v>110</v>
      </c>
    </row>
    <row r="147" spans="1:5" hidden="1" x14ac:dyDescent="0.3">
      <c r="A147" s="2">
        <v>146</v>
      </c>
      <c r="B147" s="2" t="s">
        <v>158</v>
      </c>
      <c r="C147" s="2" t="s">
        <v>127</v>
      </c>
      <c r="D147" s="9" t="s">
        <v>208</v>
      </c>
      <c r="E147" s="2" t="s">
        <v>110</v>
      </c>
    </row>
    <row r="148" spans="1:5" hidden="1" x14ac:dyDescent="0.3">
      <c r="A148" s="2">
        <v>147</v>
      </c>
      <c r="B148" s="2" t="s">
        <v>159</v>
      </c>
      <c r="C148" s="2" t="s">
        <v>127</v>
      </c>
      <c r="D148" s="9" t="s">
        <v>208</v>
      </c>
      <c r="E148" s="2" t="s">
        <v>110</v>
      </c>
    </row>
    <row r="149" spans="1:5" hidden="1" x14ac:dyDescent="0.3">
      <c r="A149" s="2">
        <v>148</v>
      </c>
      <c r="B149" s="2" t="s">
        <v>160</v>
      </c>
      <c r="C149" s="2" t="s">
        <v>130</v>
      </c>
      <c r="D149" s="9" t="s">
        <v>208</v>
      </c>
      <c r="E149" s="2" t="s">
        <v>110</v>
      </c>
    </row>
    <row r="150" spans="1:5" hidden="1" x14ac:dyDescent="0.3">
      <c r="A150" s="2">
        <v>149</v>
      </c>
      <c r="B150" s="2" t="s">
        <v>161</v>
      </c>
      <c r="C150" s="2" t="s">
        <v>73</v>
      </c>
      <c r="D150" s="9" t="s">
        <v>208</v>
      </c>
      <c r="E150" s="2" t="s">
        <v>110</v>
      </c>
    </row>
    <row r="151" spans="1:5" hidden="1" x14ac:dyDescent="0.3">
      <c r="A151" s="2">
        <v>150</v>
      </c>
      <c r="B151" s="2" t="s">
        <v>162</v>
      </c>
      <c r="C151" s="2" t="s">
        <v>73</v>
      </c>
      <c r="D151" s="9" t="s">
        <v>208</v>
      </c>
      <c r="E151" s="2" t="s">
        <v>110</v>
      </c>
    </row>
    <row r="152" spans="1:5" hidden="1" x14ac:dyDescent="0.3">
      <c r="A152" s="2">
        <v>151</v>
      </c>
      <c r="B152" s="2" t="s">
        <v>163</v>
      </c>
      <c r="C152" s="2" t="s">
        <v>73</v>
      </c>
      <c r="D152" s="9" t="s">
        <v>208</v>
      </c>
      <c r="E152" s="2" t="s">
        <v>110</v>
      </c>
    </row>
    <row r="153" spans="1:5" hidden="1" x14ac:dyDescent="0.3">
      <c r="A153" s="2">
        <v>152</v>
      </c>
      <c r="B153" s="2" t="s">
        <v>164</v>
      </c>
      <c r="C153" s="2" t="s">
        <v>4</v>
      </c>
      <c r="D153" s="9" t="s">
        <v>208</v>
      </c>
      <c r="E153" s="2" t="s">
        <v>110</v>
      </c>
    </row>
    <row r="154" spans="1:5" hidden="1" x14ac:dyDescent="0.3">
      <c r="A154" s="2">
        <v>153</v>
      </c>
      <c r="B154" s="2" t="s">
        <v>165</v>
      </c>
      <c r="C154" s="2" t="s">
        <v>127</v>
      </c>
      <c r="D154" s="9" t="s">
        <v>208</v>
      </c>
      <c r="E154" s="2" t="s">
        <v>110</v>
      </c>
    </row>
    <row r="155" spans="1:5" hidden="1" x14ac:dyDescent="0.3">
      <c r="A155" s="2">
        <v>154</v>
      </c>
      <c r="B155" s="2" t="s">
        <v>166</v>
      </c>
      <c r="C155" s="2" t="s">
        <v>130</v>
      </c>
      <c r="D155" s="9" t="s">
        <v>208</v>
      </c>
      <c r="E155" s="2" t="s">
        <v>110</v>
      </c>
    </row>
    <row r="156" spans="1:5" hidden="1" x14ac:dyDescent="0.3">
      <c r="A156" s="2">
        <v>155</v>
      </c>
      <c r="B156" s="2" t="s">
        <v>167</v>
      </c>
      <c r="C156" s="2" t="s">
        <v>130</v>
      </c>
      <c r="D156" s="9" t="s">
        <v>208</v>
      </c>
      <c r="E156" s="2" t="s">
        <v>110</v>
      </c>
    </row>
    <row r="157" spans="1:5" hidden="1" x14ac:dyDescent="0.3">
      <c r="A157" s="2">
        <v>156</v>
      </c>
      <c r="B157" s="2" t="s">
        <v>168</v>
      </c>
      <c r="C157" s="2" t="s">
        <v>73</v>
      </c>
      <c r="D157" s="9" t="s">
        <v>208</v>
      </c>
      <c r="E157" s="2" t="s">
        <v>110</v>
      </c>
    </row>
    <row r="158" spans="1:5" hidden="1" x14ac:dyDescent="0.3">
      <c r="A158" s="2">
        <v>157</v>
      </c>
      <c r="B158" s="2" t="s">
        <v>169</v>
      </c>
      <c r="C158" s="2" t="s">
        <v>73</v>
      </c>
      <c r="D158" s="9" t="s">
        <v>208</v>
      </c>
      <c r="E158" s="2" t="s">
        <v>110</v>
      </c>
    </row>
    <row r="159" spans="1:5" hidden="1" x14ac:dyDescent="0.3">
      <c r="A159" s="2">
        <v>158</v>
      </c>
      <c r="B159" s="2" t="s">
        <v>170</v>
      </c>
      <c r="C159" s="2" t="s">
        <v>130</v>
      </c>
      <c r="D159" s="9" t="s">
        <v>208</v>
      </c>
      <c r="E159" s="2" t="s">
        <v>110</v>
      </c>
    </row>
    <row r="160" spans="1:5" hidden="1" x14ac:dyDescent="0.3">
      <c r="A160" s="2">
        <v>159</v>
      </c>
      <c r="B160" s="2" t="s">
        <v>171</v>
      </c>
      <c r="C160" s="2" t="s">
        <v>130</v>
      </c>
      <c r="D160" s="9" t="s">
        <v>208</v>
      </c>
      <c r="E160" s="2" t="s">
        <v>110</v>
      </c>
    </row>
    <row r="161" spans="1:5" hidden="1" x14ac:dyDescent="0.3">
      <c r="A161" s="2">
        <v>160</v>
      </c>
      <c r="B161" s="2" t="s">
        <v>172</v>
      </c>
      <c r="C161" s="2" t="s">
        <v>130</v>
      </c>
      <c r="D161" s="9" t="s">
        <v>208</v>
      </c>
      <c r="E161" s="2" t="s">
        <v>110</v>
      </c>
    </row>
    <row r="162" spans="1:5" hidden="1" x14ac:dyDescent="0.3">
      <c r="A162" s="2">
        <v>161</v>
      </c>
      <c r="B162" s="2" t="s">
        <v>173</v>
      </c>
      <c r="C162" s="2" t="s">
        <v>130</v>
      </c>
      <c r="D162" s="9" t="s">
        <v>208</v>
      </c>
      <c r="E162" s="2" t="s">
        <v>110</v>
      </c>
    </row>
    <row r="163" spans="1:5" hidden="1" x14ac:dyDescent="0.3">
      <c r="A163" s="2">
        <v>162</v>
      </c>
      <c r="B163" s="2" t="s">
        <v>116</v>
      </c>
      <c r="C163" s="2" t="s">
        <v>4</v>
      </c>
      <c r="D163" s="9" t="s">
        <v>208</v>
      </c>
      <c r="E163" s="2" t="s">
        <v>110</v>
      </c>
    </row>
    <row r="164" spans="1:5" hidden="1" x14ac:dyDescent="0.3">
      <c r="A164" s="2">
        <v>163</v>
      </c>
      <c r="B164" s="2" t="s">
        <v>174</v>
      </c>
      <c r="C164" s="2" t="s">
        <v>73</v>
      </c>
      <c r="D164" s="9" t="s">
        <v>208</v>
      </c>
      <c r="E164" s="2" t="s">
        <v>110</v>
      </c>
    </row>
    <row r="165" spans="1:5" hidden="1" x14ac:dyDescent="0.3">
      <c r="A165" s="2">
        <v>164</v>
      </c>
      <c r="B165" s="2" t="s">
        <v>175</v>
      </c>
      <c r="C165" s="2" t="s">
        <v>130</v>
      </c>
      <c r="D165" s="9" t="s">
        <v>208</v>
      </c>
      <c r="E165" s="2" t="s">
        <v>110</v>
      </c>
    </row>
    <row r="166" spans="1:5" hidden="1" x14ac:dyDescent="0.3">
      <c r="A166" s="2">
        <v>165</v>
      </c>
      <c r="B166" s="2" t="s">
        <v>176</v>
      </c>
      <c r="C166" s="2" t="s">
        <v>130</v>
      </c>
      <c r="D166" s="9" t="s">
        <v>208</v>
      </c>
      <c r="E166" s="2" t="s">
        <v>110</v>
      </c>
    </row>
    <row r="167" spans="1:5" hidden="1" x14ac:dyDescent="0.3">
      <c r="A167" s="2">
        <v>166</v>
      </c>
      <c r="B167" s="2" t="s">
        <v>177</v>
      </c>
      <c r="C167" s="2" t="s">
        <v>130</v>
      </c>
      <c r="D167" s="9" t="s">
        <v>208</v>
      </c>
      <c r="E167" s="2" t="s">
        <v>110</v>
      </c>
    </row>
    <row r="168" spans="1:5" hidden="1" x14ac:dyDescent="0.3">
      <c r="A168" s="2">
        <v>167</v>
      </c>
      <c r="B168" s="2" t="s">
        <v>178</v>
      </c>
      <c r="C168" s="2" t="s">
        <v>73</v>
      </c>
      <c r="D168" s="9" t="s">
        <v>208</v>
      </c>
      <c r="E168" s="2" t="s">
        <v>110</v>
      </c>
    </row>
    <row r="169" spans="1:5" hidden="1" x14ac:dyDescent="0.3">
      <c r="A169" s="2">
        <v>168</v>
      </c>
      <c r="B169" s="2" t="s">
        <v>179</v>
      </c>
      <c r="C169" s="2" t="s">
        <v>73</v>
      </c>
      <c r="D169" s="9" t="s">
        <v>208</v>
      </c>
      <c r="E169" s="2" t="s">
        <v>110</v>
      </c>
    </row>
    <row r="170" spans="1:5" hidden="1" x14ac:dyDescent="0.3">
      <c r="A170" s="2">
        <v>169</v>
      </c>
      <c r="B170" s="2" t="s">
        <v>180</v>
      </c>
      <c r="C170" s="2" t="s">
        <v>73</v>
      </c>
      <c r="D170" s="9" t="s">
        <v>208</v>
      </c>
      <c r="E170" s="2" t="s">
        <v>110</v>
      </c>
    </row>
    <row r="171" spans="1:5" hidden="1" x14ac:dyDescent="0.3">
      <c r="A171" s="2">
        <v>170</v>
      </c>
      <c r="B171" s="2" t="s">
        <v>181</v>
      </c>
      <c r="C171" s="2" t="s">
        <v>73</v>
      </c>
      <c r="D171" s="9" t="s">
        <v>208</v>
      </c>
      <c r="E171" s="2" t="s">
        <v>110</v>
      </c>
    </row>
    <row r="172" spans="1:5" hidden="1" x14ac:dyDescent="0.3">
      <c r="A172" s="2">
        <v>171</v>
      </c>
      <c r="B172" s="2" t="s">
        <v>182</v>
      </c>
      <c r="C172" s="2" t="s">
        <v>73</v>
      </c>
      <c r="D172" s="9" t="s">
        <v>208</v>
      </c>
      <c r="E172" s="2" t="s">
        <v>110</v>
      </c>
    </row>
    <row r="173" spans="1:5" hidden="1" x14ac:dyDescent="0.3">
      <c r="A173" s="2">
        <v>172</v>
      </c>
      <c r="B173" s="2" t="s">
        <v>183</v>
      </c>
      <c r="C173" s="2" t="s">
        <v>73</v>
      </c>
      <c r="D173" s="9" t="s">
        <v>208</v>
      </c>
      <c r="E173" s="2" t="s">
        <v>110</v>
      </c>
    </row>
    <row r="174" spans="1:5" hidden="1" x14ac:dyDescent="0.3">
      <c r="A174" s="2">
        <v>173</v>
      </c>
      <c r="B174" s="2" t="s">
        <v>184</v>
      </c>
      <c r="C174" s="2" t="s">
        <v>130</v>
      </c>
      <c r="D174" s="9" t="s">
        <v>208</v>
      </c>
      <c r="E174" s="2" t="s">
        <v>110</v>
      </c>
    </row>
    <row r="175" spans="1:5" hidden="1" x14ac:dyDescent="0.3">
      <c r="A175" s="2">
        <v>174</v>
      </c>
      <c r="B175" s="2" t="s">
        <v>185</v>
      </c>
      <c r="C175" s="2" t="s">
        <v>130</v>
      </c>
      <c r="D175" s="9" t="s">
        <v>208</v>
      </c>
      <c r="E175" s="2" t="s">
        <v>110</v>
      </c>
    </row>
    <row r="176" spans="1:5" hidden="1" x14ac:dyDescent="0.3">
      <c r="A176" s="2">
        <v>175</v>
      </c>
      <c r="B176" s="2" t="s">
        <v>186</v>
      </c>
      <c r="C176" s="2" t="s">
        <v>130</v>
      </c>
      <c r="D176" s="9" t="s">
        <v>208</v>
      </c>
      <c r="E176" s="2" t="s">
        <v>110</v>
      </c>
    </row>
    <row r="177" spans="1:16" hidden="1" x14ac:dyDescent="0.3">
      <c r="A177" s="2">
        <v>176</v>
      </c>
      <c r="B177" s="2" t="s">
        <v>187</v>
      </c>
      <c r="C177" s="2" t="s">
        <v>130</v>
      </c>
      <c r="D177" s="9" t="s">
        <v>208</v>
      </c>
      <c r="E177" s="2" t="s">
        <v>110</v>
      </c>
    </row>
    <row r="178" spans="1:16" hidden="1" x14ac:dyDescent="0.3">
      <c r="A178" s="2">
        <v>177</v>
      </c>
      <c r="B178" s="2" t="s">
        <v>188</v>
      </c>
      <c r="C178" s="2" t="s">
        <v>73</v>
      </c>
      <c r="D178" s="9" t="s">
        <v>208</v>
      </c>
      <c r="E178" s="2" t="s">
        <v>110</v>
      </c>
    </row>
    <row r="179" spans="1:16" hidden="1" x14ac:dyDescent="0.3">
      <c r="A179" s="2">
        <v>178</v>
      </c>
      <c r="B179" s="2" t="s">
        <v>189</v>
      </c>
      <c r="C179" s="2" t="s">
        <v>73</v>
      </c>
      <c r="D179" s="9" t="s">
        <v>208</v>
      </c>
      <c r="E179" s="2" t="s">
        <v>110</v>
      </c>
    </row>
    <row r="180" spans="1:16" hidden="1" x14ac:dyDescent="0.3">
      <c r="A180" s="2">
        <v>179</v>
      </c>
      <c r="B180" s="2" t="s">
        <v>190</v>
      </c>
      <c r="C180" s="2" t="s">
        <v>130</v>
      </c>
      <c r="D180" s="9" t="s">
        <v>208</v>
      </c>
      <c r="E180" s="2" t="s">
        <v>110</v>
      </c>
    </row>
    <row r="181" spans="1:16" hidden="1" x14ac:dyDescent="0.3">
      <c r="A181" s="2">
        <v>180</v>
      </c>
      <c r="B181" s="2" t="s">
        <v>191</v>
      </c>
      <c r="C181" s="2" t="s">
        <v>4</v>
      </c>
      <c r="D181" s="9" t="s">
        <v>208</v>
      </c>
      <c r="E181" s="2" t="s">
        <v>110</v>
      </c>
    </row>
    <row r="182" spans="1:16" hidden="1" x14ac:dyDescent="0.3">
      <c r="A182" s="2">
        <v>181</v>
      </c>
      <c r="B182" s="2" t="s">
        <v>192</v>
      </c>
      <c r="C182" s="2" t="s">
        <v>130</v>
      </c>
      <c r="D182" s="9" t="s">
        <v>208</v>
      </c>
      <c r="E182" s="2" t="s">
        <v>110</v>
      </c>
    </row>
    <row r="183" spans="1:16" hidden="1" x14ac:dyDescent="0.3">
      <c r="A183" s="2">
        <v>182</v>
      </c>
      <c r="B183" s="2" t="s">
        <v>193</v>
      </c>
      <c r="C183" s="2" t="s">
        <v>130</v>
      </c>
      <c r="D183" s="9" t="s">
        <v>208</v>
      </c>
      <c r="E183" s="2" t="s">
        <v>110</v>
      </c>
    </row>
    <row r="184" spans="1:16" hidden="1" x14ac:dyDescent="0.3">
      <c r="A184" s="2">
        <v>183</v>
      </c>
      <c r="B184" s="2" t="s">
        <v>194</v>
      </c>
      <c r="C184" s="2" t="s">
        <v>130</v>
      </c>
      <c r="D184" s="9" t="s">
        <v>208</v>
      </c>
      <c r="E184" s="2" t="s">
        <v>110</v>
      </c>
    </row>
    <row r="185" spans="1:16" hidden="1" x14ac:dyDescent="0.3">
      <c r="A185" s="2">
        <v>184</v>
      </c>
      <c r="B185" s="2" t="s">
        <v>119</v>
      </c>
      <c r="C185" s="2" t="s">
        <v>4</v>
      </c>
      <c r="D185" s="9" t="s">
        <v>208</v>
      </c>
      <c r="E185" s="2" t="s">
        <v>110</v>
      </c>
    </row>
    <row r="186" spans="1:16" hidden="1" x14ac:dyDescent="0.3">
      <c r="A186" s="2">
        <v>185</v>
      </c>
      <c r="B186" s="2" t="s">
        <v>195</v>
      </c>
      <c r="C186" s="2" t="s">
        <v>130</v>
      </c>
      <c r="D186" s="9" t="s">
        <v>208</v>
      </c>
      <c r="E186" s="2" t="s">
        <v>110</v>
      </c>
    </row>
    <row r="187" spans="1:16" hidden="1" x14ac:dyDescent="0.3">
      <c r="A187" s="2">
        <v>186</v>
      </c>
      <c r="B187" s="2" t="s">
        <v>196</v>
      </c>
      <c r="C187" s="2" t="s">
        <v>130</v>
      </c>
      <c r="D187" s="9" t="s">
        <v>208</v>
      </c>
      <c r="E187" s="2" t="s">
        <v>110</v>
      </c>
    </row>
    <row r="188" spans="1:16" hidden="1" x14ac:dyDescent="0.3">
      <c r="A188" s="2">
        <v>187</v>
      </c>
      <c r="B188" s="2" t="s">
        <v>128</v>
      </c>
      <c r="C188" s="2" t="s">
        <v>127</v>
      </c>
      <c r="D188" s="9" t="s">
        <v>208</v>
      </c>
      <c r="E188" s="2" t="s">
        <v>110</v>
      </c>
    </row>
    <row r="189" spans="1:16" hidden="1" x14ac:dyDescent="0.3">
      <c r="A189" s="2">
        <v>188</v>
      </c>
      <c r="B189" s="2" t="s">
        <v>197</v>
      </c>
      <c r="C189" s="2" t="s">
        <v>130</v>
      </c>
      <c r="D189" s="9" t="s">
        <v>208</v>
      </c>
      <c r="E189" s="2" t="s">
        <v>110</v>
      </c>
    </row>
    <row r="190" spans="1:16" hidden="1" x14ac:dyDescent="0.3">
      <c r="A190" s="2">
        <v>189</v>
      </c>
      <c r="B190" s="2" t="s">
        <v>198</v>
      </c>
      <c r="C190" s="2" t="s">
        <v>73</v>
      </c>
      <c r="D190" s="9" t="s">
        <v>208</v>
      </c>
      <c r="E190" s="2" t="s">
        <v>110</v>
      </c>
      <c r="P190" s="12" t="s">
        <v>209</v>
      </c>
    </row>
    <row r="191" spans="1:16" hidden="1" x14ac:dyDescent="0.3">
      <c r="A191" s="2">
        <v>190</v>
      </c>
      <c r="B191" s="2" t="s">
        <v>199</v>
      </c>
      <c r="C191" s="2" t="s">
        <v>130</v>
      </c>
      <c r="D191" s="9" t="s">
        <v>208</v>
      </c>
      <c r="E191" s="2" t="s">
        <v>110</v>
      </c>
    </row>
    <row r="192" spans="1:16" hidden="1" x14ac:dyDescent="0.3">
      <c r="A192" s="2">
        <v>191</v>
      </c>
      <c r="B192" s="2" t="s">
        <v>200</v>
      </c>
      <c r="C192" s="2" t="s">
        <v>73</v>
      </c>
      <c r="D192" s="9" t="s">
        <v>208</v>
      </c>
      <c r="E192" s="2" t="s">
        <v>110</v>
      </c>
    </row>
    <row r="193" spans="1:5" hidden="1" x14ac:dyDescent="0.3">
      <c r="A193" s="2">
        <v>192</v>
      </c>
      <c r="B193" s="2" t="s">
        <v>201</v>
      </c>
      <c r="C193" s="2" t="s">
        <v>73</v>
      </c>
      <c r="D193" s="9" t="s">
        <v>208</v>
      </c>
      <c r="E193" s="2" t="s">
        <v>110</v>
      </c>
    </row>
    <row r="194" spans="1:5" hidden="1" x14ac:dyDescent="0.3">
      <c r="A194" s="2">
        <v>193</v>
      </c>
      <c r="B194" s="2" t="s">
        <v>202</v>
      </c>
      <c r="C194" s="2" t="s">
        <v>130</v>
      </c>
      <c r="D194" s="9" t="s">
        <v>208</v>
      </c>
      <c r="E194" s="2" t="s">
        <v>110</v>
      </c>
    </row>
    <row r="195" spans="1:5" hidden="1" x14ac:dyDescent="0.3">
      <c r="A195" s="2">
        <v>194</v>
      </c>
      <c r="B195" s="2" t="s">
        <v>203</v>
      </c>
      <c r="C195" s="2" t="s">
        <v>73</v>
      </c>
      <c r="D195" s="9" t="s">
        <v>208</v>
      </c>
      <c r="E195" s="2" t="s">
        <v>110</v>
      </c>
    </row>
    <row r="196" spans="1:5" hidden="1" x14ac:dyDescent="0.3">
      <c r="A196" s="2">
        <v>195</v>
      </c>
      <c r="B196" s="2" t="s">
        <v>204</v>
      </c>
      <c r="C196" s="2" t="s">
        <v>130</v>
      </c>
      <c r="D196" s="9" t="s">
        <v>208</v>
      </c>
      <c r="E196" s="2" t="s">
        <v>110</v>
      </c>
    </row>
    <row r="197" spans="1:5" hidden="1" x14ac:dyDescent="0.3">
      <c r="A197" s="2">
        <v>196</v>
      </c>
      <c r="B197" s="2" t="s">
        <v>205</v>
      </c>
      <c r="C197" s="2" t="s">
        <v>130</v>
      </c>
      <c r="D197" s="9" t="s">
        <v>208</v>
      </c>
      <c r="E197" s="2" t="s">
        <v>110</v>
      </c>
    </row>
    <row r="198" spans="1:5" hidden="1" x14ac:dyDescent="0.3">
      <c r="A198" s="2">
        <v>197</v>
      </c>
      <c r="B198" s="2" t="s">
        <v>206</v>
      </c>
      <c r="C198" s="2" t="s">
        <v>73</v>
      </c>
      <c r="D198" s="9" t="s">
        <v>208</v>
      </c>
      <c r="E198" s="2" t="s">
        <v>110</v>
      </c>
    </row>
    <row r="199" spans="1:5" hidden="1" x14ac:dyDescent="0.3">
      <c r="A199" s="2">
        <v>198</v>
      </c>
      <c r="B199" s="2" t="s">
        <v>207</v>
      </c>
      <c r="C199" s="2" t="s">
        <v>130</v>
      </c>
      <c r="D199" s="9" t="s">
        <v>208</v>
      </c>
      <c r="E199" s="2" t="s">
        <v>110</v>
      </c>
    </row>
    <row r="200" spans="1:5" hidden="1" x14ac:dyDescent="0.3">
      <c r="A200" s="2">
        <v>199</v>
      </c>
      <c r="B200" s="2" t="s">
        <v>118</v>
      </c>
      <c r="C200" s="2" t="s">
        <v>4</v>
      </c>
      <c r="D200" s="9" t="s">
        <v>208</v>
      </c>
      <c r="E200" s="2" t="s">
        <v>110</v>
      </c>
    </row>
    <row r="201" spans="1:5" hidden="1" x14ac:dyDescent="0.3">
      <c r="A201" s="2">
        <v>200</v>
      </c>
      <c r="B201" s="2" t="s">
        <v>117</v>
      </c>
      <c r="C201" s="2" t="s">
        <v>4</v>
      </c>
      <c r="D201" s="9" t="s">
        <v>208</v>
      </c>
      <c r="E201" s="2" t="s">
        <v>110</v>
      </c>
    </row>
    <row r="202" spans="1:5" x14ac:dyDescent="0.3">
      <c r="A202" s="2">
        <v>201</v>
      </c>
      <c r="B202" s="2" t="s">
        <v>210</v>
      </c>
      <c r="C202" s="2" t="s">
        <v>4</v>
      </c>
      <c r="D202" s="9" t="s">
        <v>300</v>
      </c>
      <c r="E202" s="3" t="s">
        <v>110</v>
      </c>
    </row>
    <row r="203" spans="1:5" x14ac:dyDescent="0.3">
      <c r="A203" s="2">
        <v>202</v>
      </c>
      <c r="B203" s="2" t="s">
        <v>211</v>
      </c>
      <c r="C203" s="2" t="s">
        <v>4</v>
      </c>
      <c r="D203" s="9" t="s">
        <v>300</v>
      </c>
      <c r="E203" s="3" t="s">
        <v>110</v>
      </c>
    </row>
    <row r="204" spans="1:5" x14ac:dyDescent="0.3">
      <c r="A204" s="2">
        <v>203</v>
      </c>
      <c r="B204" s="2" t="s">
        <v>212</v>
      </c>
      <c r="C204" s="2" t="s">
        <v>4</v>
      </c>
      <c r="D204" s="9" t="s">
        <v>300</v>
      </c>
      <c r="E204" s="3" t="s">
        <v>110</v>
      </c>
    </row>
    <row r="205" spans="1:5" x14ac:dyDescent="0.3">
      <c r="A205" s="2">
        <v>204</v>
      </c>
      <c r="B205" s="2" t="s">
        <v>213</v>
      </c>
      <c r="C205" s="2" t="s">
        <v>4</v>
      </c>
      <c r="D205" s="9" t="s">
        <v>300</v>
      </c>
      <c r="E205" s="3" t="s">
        <v>110</v>
      </c>
    </row>
    <row r="206" spans="1:5" x14ac:dyDescent="0.3">
      <c r="A206" s="2">
        <v>205</v>
      </c>
      <c r="B206" s="2" t="s">
        <v>214</v>
      </c>
      <c r="C206" s="2" t="s">
        <v>4</v>
      </c>
      <c r="D206" s="9" t="s">
        <v>300</v>
      </c>
      <c r="E206" s="3" t="s">
        <v>110</v>
      </c>
    </row>
    <row r="207" spans="1:5" x14ac:dyDescent="0.3">
      <c r="A207" s="2">
        <v>206</v>
      </c>
      <c r="B207" s="2" t="s">
        <v>215</v>
      </c>
      <c r="C207" s="2" t="s">
        <v>4</v>
      </c>
      <c r="D207" s="9" t="s">
        <v>300</v>
      </c>
      <c r="E207" s="3" t="s">
        <v>110</v>
      </c>
    </row>
    <row r="208" spans="1:5" x14ac:dyDescent="0.3">
      <c r="A208" s="2">
        <v>207</v>
      </c>
      <c r="B208" s="2" t="s">
        <v>216</v>
      </c>
      <c r="C208" s="2" t="s">
        <v>4</v>
      </c>
      <c r="D208" s="9" t="s">
        <v>300</v>
      </c>
      <c r="E208" s="3" t="s">
        <v>110</v>
      </c>
    </row>
    <row r="209" spans="1:5" x14ac:dyDescent="0.3">
      <c r="A209" s="2">
        <v>208</v>
      </c>
      <c r="B209" s="2" t="s">
        <v>217</v>
      </c>
      <c r="C209" s="2" t="s">
        <v>4</v>
      </c>
      <c r="D209" s="9" t="s">
        <v>300</v>
      </c>
      <c r="E209" s="3" t="s">
        <v>110</v>
      </c>
    </row>
    <row r="210" spans="1:5" x14ac:dyDescent="0.3">
      <c r="A210" s="2">
        <v>209</v>
      </c>
      <c r="B210" s="2" t="s">
        <v>218</v>
      </c>
      <c r="C210" s="2" t="s">
        <v>4</v>
      </c>
      <c r="D210" s="9" t="s">
        <v>300</v>
      </c>
      <c r="E210" s="3" t="s">
        <v>110</v>
      </c>
    </row>
    <row r="211" spans="1:5" x14ac:dyDescent="0.3">
      <c r="A211" s="2">
        <v>210</v>
      </c>
      <c r="B211" s="2" t="s">
        <v>219</v>
      </c>
      <c r="C211" s="2" t="s">
        <v>4</v>
      </c>
      <c r="D211" s="9" t="s">
        <v>300</v>
      </c>
      <c r="E211" s="3" t="s">
        <v>110</v>
      </c>
    </row>
    <row r="212" spans="1:5" x14ac:dyDescent="0.3">
      <c r="A212" s="2">
        <v>211</v>
      </c>
      <c r="B212" s="2" t="s">
        <v>220</v>
      </c>
      <c r="C212" s="2" t="s">
        <v>4</v>
      </c>
      <c r="D212" s="9" t="s">
        <v>300</v>
      </c>
      <c r="E212" s="3" t="s">
        <v>110</v>
      </c>
    </row>
    <row r="213" spans="1:5" x14ac:dyDescent="0.3">
      <c r="A213" s="2">
        <v>212</v>
      </c>
      <c r="B213" s="2" t="s">
        <v>221</v>
      </c>
      <c r="C213" s="2" t="s">
        <v>4</v>
      </c>
      <c r="D213" s="9" t="s">
        <v>300</v>
      </c>
      <c r="E213" s="3" t="s">
        <v>110</v>
      </c>
    </row>
    <row r="214" spans="1:5" x14ac:dyDescent="0.3">
      <c r="A214" s="2">
        <v>213</v>
      </c>
      <c r="B214" s="2" t="s">
        <v>222</v>
      </c>
      <c r="C214" s="2" t="s">
        <v>4</v>
      </c>
      <c r="D214" s="9" t="s">
        <v>300</v>
      </c>
      <c r="E214" s="3" t="s">
        <v>110</v>
      </c>
    </row>
    <row r="215" spans="1:5" x14ac:dyDescent="0.3">
      <c r="A215" s="2">
        <v>214</v>
      </c>
      <c r="B215" s="2" t="s">
        <v>223</v>
      </c>
      <c r="C215" s="2" t="s">
        <v>224</v>
      </c>
      <c r="D215" s="9" t="s">
        <v>300</v>
      </c>
      <c r="E215" s="3" t="s">
        <v>110</v>
      </c>
    </row>
    <row r="216" spans="1:5" x14ac:dyDescent="0.3">
      <c r="A216" s="2">
        <v>215</v>
      </c>
      <c r="B216" s="2" t="s">
        <v>225</v>
      </c>
      <c r="C216" s="2" t="s">
        <v>4</v>
      </c>
      <c r="D216" s="9" t="s">
        <v>300</v>
      </c>
      <c r="E216" s="3" t="s">
        <v>110</v>
      </c>
    </row>
    <row r="217" spans="1:5" x14ac:dyDescent="0.3">
      <c r="A217" s="2">
        <v>216</v>
      </c>
      <c r="B217" s="2" t="s">
        <v>226</v>
      </c>
      <c r="C217" s="2" t="s">
        <v>224</v>
      </c>
      <c r="D217" s="9" t="s">
        <v>300</v>
      </c>
      <c r="E217" s="3" t="s">
        <v>110</v>
      </c>
    </row>
    <row r="218" spans="1:5" x14ac:dyDescent="0.3">
      <c r="A218" s="2">
        <v>217</v>
      </c>
      <c r="B218" s="2" t="s">
        <v>227</v>
      </c>
      <c r="C218" s="2" t="s">
        <v>224</v>
      </c>
      <c r="D218" s="9" t="s">
        <v>300</v>
      </c>
      <c r="E218" s="3" t="s">
        <v>110</v>
      </c>
    </row>
    <row r="219" spans="1:5" x14ac:dyDescent="0.3">
      <c r="A219" s="2">
        <v>218</v>
      </c>
      <c r="B219" s="2" t="s">
        <v>228</v>
      </c>
      <c r="C219" s="2" t="s">
        <v>4</v>
      </c>
      <c r="D219" s="9" t="s">
        <v>300</v>
      </c>
      <c r="E219" s="3" t="s">
        <v>110</v>
      </c>
    </row>
    <row r="220" spans="1:5" x14ac:dyDescent="0.3">
      <c r="A220" s="2">
        <v>219</v>
      </c>
      <c r="B220" s="2" t="s">
        <v>229</v>
      </c>
      <c r="C220" s="2" t="s">
        <v>73</v>
      </c>
      <c r="D220" s="9" t="s">
        <v>300</v>
      </c>
      <c r="E220" s="3" t="s">
        <v>110</v>
      </c>
    </row>
    <row r="221" spans="1:5" x14ac:dyDescent="0.3">
      <c r="A221" s="2">
        <v>220</v>
      </c>
      <c r="B221" s="2" t="s">
        <v>230</v>
      </c>
      <c r="C221" s="2" t="s">
        <v>73</v>
      </c>
      <c r="D221" s="9" t="s">
        <v>300</v>
      </c>
      <c r="E221" s="3" t="s">
        <v>110</v>
      </c>
    </row>
    <row r="222" spans="1:5" x14ac:dyDescent="0.3">
      <c r="A222" s="2">
        <v>221</v>
      </c>
      <c r="B222" s="2" t="s">
        <v>231</v>
      </c>
      <c r="C222" s="2" t="s">
        <v>73</v>
      </c>
      <c r="D222" s="9" t="s">
        <v>300</v>
      </c>
      <c r="E222" s="3" t="s">
        <v>110</v>
      </c>
    </row>
    <row r="223" spans="1:5" x14ac:dyDescent="0.3">
      <c r="A223" s="2">
        <v>222</v>
      </c>
      <c r="B223" s="2" t="s">
        <v>232</v>
      </c>
      <c r="C223" s="2" t="s">
        <v>233</v>
      </c>
      <c r="D223" s="9" t="s">
        <v>300</v>
      </c>
      <c r="E223" s="3" t="s">
        <v>110</v>
      </c>
    </row>
    <row r="224" spans="1:5" x14ac:dyDescent="0.3">
      <c r="A224" s="2">
        <v>223</v>
      </c>
      <c r="B224" s="2" t="s">
        <v>234</v>
      </c>
      <c r="C224" s="2" t="s">
        <v>233</v>
      </c>
      <c r="D224" s="9" t="s">
        <v>300</v>
      </c>
      <c r="E224" s="3" t="s">
        <v>110</v>
      </c>
    </row>
    <row r="225" spans="1:5" x14ac:dyDescent="0.3">
      <c r="A225" s="2">
        <v>224</v>
      </c>
      <c r="B225" s="2" t="s">
        <v>235</v>
      </c>
      <c r="C225" s="2" t="s">
        <v>233</v>
      </c>
      <c r="D225" s="9" t="s">
        <v>300</v>
      </c>
      <c r="E225" s="3" t="s">
        <v>110</v>
      </c>
    </row>
    <row r="226" spans="1:5" x14ac:dyDescent="0.3">
      <c r="A226" s="2">
        <v>225</v>
      </c>
      <c r="B226" s="2" t="s">
        <v>236</v>
      </c>
      <c r="C226" s="2" t="s">
        <v>233</v>
      </c>
      <c r="D226" s="9" t="s">
        <v>300</v>
      </c>
      <c r="E226" s="3" t="s">
        <v>110</v>
      </c>
    </row>
    <row r="227" spans="1:5" x14ac:dyDescent="0.3">
      <c r="A227" s="2">
        <v>226</v>
      </c>
      <c r="B227" s="2" t="s">
        <v>237</v>
      </c>
      <c r="C227" s="2" t="s">
        <v>233</v>
      </c>
      <c r="D227" s="9" t="s">
        <v>300</v>
      </c>
      <c r="E227" s="3" t="s">
        <v>110</v>
      </c>
    </row>
    <row r="228" spans="1:5" x14ac:dyDescent="0.3">
      <c r="A228" s="2">
        <v>227</v>
      </c>
      <c r="B228" s="2" t="s">
        <v>238</v>
      </c>
      <c r="C228" s="2" t="s">
        <v>233</v>
      </c>
      <c r="D228" s="9" t="s">
        <v>300</v>
      </c>
      <c r="E228" s="3" t="s">
        <v>110</v>
      </c>
    </row>
    <row r="229" spans="1:5" x14ac:dyDescent="0.3">
      <c r="A229" s="2">
        <v>228</v>
      </c>
      <c r="B229" s="2" t="s">
        <v>239</v>
      </c>
      <c r="C229" s="2" t="s">
        <v>224</v>
      </c>
      <c r="D229" s="9" t="s">
        <v>300</v>
      </c>
      <c r="E229" s="3" t="s">
        <v>110</v>
      </c>
    </row>
    <row r="230" spans="1:5" x14ac:dyDescent="0.3">
      <c r="A230" s="2">
        <v>229</v>
      </c>
      <c r="B230" s="2" t="s">
        <v>240</v>
      </c>
      <c r="C230" s="2" t="s">
        <v>224</v>
      </c>
      <c r="D230" s="9" t="s">
        <v>300</v>
      </c>
      <c r="E230" s="3" t="s">
        <v>110</v>
      </c>
    </row>
    <row r="231" spans="1:5" x14ac:dyDescent="0.3">
      <c r="A231" s="2">
        <v>230</v>
      </c>
      <c r="B231" s="2" t="s">
        <v>241</v>
      </c>
      <c r="C231" s="2" t="s">
        <v>224</v>
      </c>
      <c r="D231" s="9" t="s">
        <v>300</v>
      </c>
      <c r="E231" s="3" t="s">
        <v>110</v>
      </c>
    </row>
    <row r="232" spans="1:5" x14ac:dyDescent="0.3">
      <c r="A232" s="2">
        <v>231</v>
      </c>
      <c r="B232" s="2" t="s">
        <v>242</v>
      </c>
      <c r="C232" s="2" t="s">
        <v>233</v>
      </c>
      <c r="D232" s="9" t="s">
        <v>300</v>
      </c>
      <c r="E232" s="3" t="s">
        <v>110</v>
      </c>
    </row>
    <row r="233" spans="1:5" x14ac:dyDescent="0.3">
      <c r="A233" s="2">
        <v>232</v>
      </c>
      <c r="B233" s="2" t="s">
        <v>243</v>
      </c>
      <c r="C233" s="2" t="s">
        <v>73</v>
      </c>
      <c r="D233" s="9" t="s">
        <v>300</v>
      </c>
      <c r="E233" s="3" t="s">
        <v>110</v>
      </c>
    </row>
    <row r="234" spans="1:5" x14ac:dyDescent="0.3">
      <c r="A234" s="2">
        <v>233</v>
      </c>
      <c r="B234" s="2" t="s">
        <v>244</v>
      </c>
      <c r="C234" s="2" t="s">
        <v>233</v>
      </c>
      <c r="D234" s="9" t="s">
        <v>300</v>
      </c>
      <c r="E234" s="3" t="s">
        <v>110</v>
      </c>
    </row>
    <row r="235" spans="1:5" x14ac:dyDescent="0.3">
      <c r="A235" s="2">
        <v>234</v>
      </c>
      <c r="B235" s="2" t="s">
        <v>245</v>
      </c>
      <c r="C235" s="2" t="s">
        <v>233</v>
      </c>
      <c r="D235" s="9" t="s">
        <v>300</v>
      </c>
      <c r="E235" s="3" t="s">
        <v>110</v>
      </c>
    </row>
    <row r="236" spans="1:5" x14ac:dyDescent="0.3">
      <c r="A236" s="2">
        <v>235</v>
      </c>
      <c r="B236" s="2" t="s">
        <v>246</v>
      </c>
      <c r="C236" s="2" t="s">
        <v>224</v>
      </c>
      <c r="D236" s="9" t="s">
        <v>300</v>
      </c>
      <c r="E236" s="3" t="s">
        <v>110</v>
      </c>
    </row>
    <row r="237" spans="1:5" x14ac:dyDescent="0.3">
      <c r="A237" s="2">
        <v>236</v>
      </c>
      <c r="B237" s="2" t="s">
        <v>247</v>
      </c>
      <c r="C237" s="2" t="s">
        <v>224</v>
      </c>
      <c r="D237" s="9" t="s">
        <v>300</v>
      </c>
      <c r="E237" s="3" t="s">
        <v>110</v>
      </c>
    </row>
    <row r="238" spans="1:5" x14ac:dyDescent="0.3">
      <c r="A238" s="2">
        <v>237</v>
      </c>
      <c r="B238" s="2" t="s">
        <v>248</v>
      </c>
      <c r="C238" s="2" t="s">
        <v>224</v>
      </c>
      <c r="D238" s="9" t="s">
        <v>300</v>
      </c>
      <c r="E238" s="3" t="s">
        <v>110</v>
      </c>
    </row>
    <row r="239" spans="1:5" x14ac:dyDescent="0.3">
      <c r="A239" s="2">
        <v>238</v>
      </c>
      <c r="B239" s="2" t="s">
        <v>249</v>
      </c>
      <c r="C239" s="2" t="s">
        <v>224</v>
      </c>
      <c r="D239" s="9" t="s">
        <v>300</v>
      </c>
      <c r="E239" s="3" t="s">
        <v>110</v>
      </c>
    </row>
    <row r="240" spans="1:5" x14ac:dyDescent="0.3">
      <c r="A240" s="2">
        <v>239</v>
      </c>
      <c r="B240" s="2" t="s">
        <v>250</v>
      </c>
      <c r="C240" s="2" t="s">
        <v>73</v>
      </c>
      <c r="D240" s="9" t="s">
        <v>300</v>
      </c>
      <c r="E240" s="3" t="s">
        <v>110</v>
      </c>
    </row>
    <row r="241" spans="1:5" x14ac:dyDescent="0.3">
      <c r="A241" s="2">
        <v>240</v>
      </c>
      <c r="B241" s="2" t="s">
        <v>251</v>
      </c>
      <c r="C241" s="2" t="s">
        <v>73</v>
      </c>
      <c r="D241" s="9" t="s">
        <v>300</v>
      </c>
      <c r="E241" s="3" t="s">
        <v>110</v>
      </c>
    </row>
    <row r="242" spans="1:5" x14ac:dyDescent="0.3">
      <c r="A242" s="2">
        <v>241</v>
      </c>
      <c r="B242" s="2" t="s">
        <v>252</v>
      </c>
      <c r="C242" s="2" t="s">
        <v>4</v>
      </c>
      <c r="D242" s="9" t="s">
        <v>300</v>
      </c>
      <c r="E242" s="3" t="s">
        <v>110</v>
      </c>
    </row>
    <row r="243" spans="1:5" x14ac:dyDescent="0.3">
      <c r="A243" s="2">
        <v>242</v>
      </c>
      <c r="B243" s="2" t="s">
        <v>253</v>
      </c>
      <c r="C243" s="2" t="s">
        <v>73</v>
      </c>
      <c r="D243" s="9" t="s">
        <v>300</v>
      </c>
      <c r="E243" s="3" t="s">
        <v>110</v>
      </c>
    </row>
    <row r="244" spans="1:5" x14ac:dyDescent="0.3">
      <c r="A244" s="2">
        <v>243</v>
      </c>
      <c r="B244" s="2" t="s">
        <v>254</v>
      </c>
      <c r="C244" s="2" t="s">
        <v>73</v>
      </c>
      <c r="D244" s="9" t="s">
        <v>300</v>
      </c>
      <c r="E244" s="3" t="s">
        <v>110</v>
      </c>
    </row>
    <row r="245" spans="1:5" x14ac:dyDescent="0.3">
      <c r="A245" s="2">
        <v>244</v>
      </c>
      <c r="B245" s="2" t="s">
        <v>255</v>
      </c>
      <c r="C245" s="2" t="s">
        <v>73</v>
      </c>
      <c r="D245" s="9" t="s">
        <v>300</v>
      </c>
      <c r="E245" s="3" t="s">
        <v>110</v>
      </c>
    </row>
    <row r="246" spans="1:5" x14ac:dyDescent="0.3">
      <c r="A246" s="2">
        <v>245</v>
      </c>
      <c r="B246" s="2" t="s">
        <v>256</v>
      </c>
      <c r="C246" s="2" t="s">
        <v>73</v>
      </c>
      <c r="D246" s="9" t="s">
        <v>300</v>
      </c>
      <c r="E246" s="3" t="s">
        <v>110</v>
      </c>
    </row>
    <row r="247" spans="1:5" x14ac:dyDescent="0.3">
      <c r="A247" s="2">
        <v>246</v>
      </c>
      <c r="B247" s="2" t="s">
        <v>257</v>
      </c>
      <c r="C247" s="2" t="s">
        <v>224</v>
      </c>
      <c r="D247" s="9" t="s">
        <v>300</v>
      </c>
      <c r="E247" s="3" t="s">
        <v>110</v>
      </c>
    </row>
    <row r="248" spans="1:5" x14ac:dyDescent="0.3">
      <c r="A248" s="2">
        <v>247</v>
      </c>
      <c r="B248" s="2" t="s">
        <v>258</v>
      </c>
      <c r="C248" s="2" t="s">
        <v>224</v>
      </c>
      <c r="D248" s="9" t="s">
        <v>300</v>
      </c>
      <c r="E248" s="3" t="s">
        <v>110</v>
      </c>
    </row>
    <row r="249" spans="1:5" x14ac:dyDescent="0.3">
      <c r="A249" s="2">
        <v>248</v>
      </c>
      <c r="B249" s="2" t="s">
        <v>259</v>
      </c>
      <c r="C249" s="2" t="s">
        <v>224</v>
      </c>
      <c r="D249" s="9" t="s">
        <v>300</v>
      </c>
      <c r="E249" s="3" t="s">
        <v>110</v>
      </c>
    </row>
    <row r="250" spans="1:5" x14ac:dyDescent="0.3">
      <c r="A250" s="2">
        <v>249</v>
      </c>
      <c r="B250" s="2" t="s">
        <v>260</v>
      </c>
      <c r="C250" s="2" t="s">
        <v>224</v>
      </c>
      <c r="D250" s="9" t="s">
        <v>300</v>
      </c>
      <c r="E250" s="3" t="s">
        <v>110</v>
      </c>
    </row>
    <row r="251" spans="1:5" x14ac:dyDescent="0.3">
      <c r="A251" s="2">
        <v>250</v>
      </c>
      <c r="B251" s="2" t="s">
        <v>261</v>
      </c>
      <c r="C251" s="2" t="s">
        <v>224</v>
      </c>
      <c r="D251" s="9" t="s">
        <v>300</v>
      </c>
      <c r="E251" s="3" t="s">
        <v>110</v>
      </c>
    </row>
    <row r="252" spans="1:5" x14ac:dyDescent="0.3">
      <c r="A252" s="2">
        <v>251</v>
      </c>
      <c r="B252" s="2" t="s">
        <v>262</v>
      </c>
      <c r="C252" s="2" t="s">
        <v>233</v>
      </c>
      <c r="D252" s="9" t="s">
        <v>300</v>
      </c>
      <c r="E252" s="3" t="s">
        <v>110</v>
      </c>
    </row>
    <row r="253" spans="1:5" x14ac:dyDescent="0.3">
      <c r="A253" s="2">
        <v>252</v>
      </c>
      <c r="B253" s="2" t="s">
        <v>263</v>
      </c>
      <c r="C253" s="2" t="s">
        <v>224</v>
      </c>
      <c r="D253" s="9" t="s">
        <v>300</v>
      </c>
      <c r="E253" s="3" t="s">
        <v>110</v>
      </c>
    </row>
    <row r="254" spans="1:5" x14ac:dyDescent="0.3">
      <c r="A254" s="2">
        <v>253</v>
      </c>
      <c r="B254" s="2" t="s">
        <v>264</v>
      </c>
      <c r="C254" s="2" t="s">
        <v>233</v>
      </c>
      <c r="D254" s="9" t="s">
        <v>300</v>
      </c>
      <c r="E254" s="3" t="s">
        <v>110</v>
      </c>
    </row>
    <row r="255" spans="1:5" x14ac:dyDescent="0.3">
      <c r="A255" s="2">
        <v>254</v>
      </c>
      <c r="B255" s="2" t="s">
        <v>265</v>
      </c>
      <c r="C255" s="2" t="s">
        <v>233</v>
      </c>
      <c r="D255" s="9" t="s">
        <v>300</v>
      </c>
      <c r="E255" s="3" t="s">
        <v>110</v>
      </c>
    </row>
    <row r="256" spans="1:5" x14ac:dyDescent="0.3">
      <c r="A256" s="2">
        <v>255</v>
      </c>
      <c r="B256" s="2" t="s">
        <v>266</v>
      </c>
      <c r="C256" s="2" t="s">
        <v>224</v>
      </c>
      <c r="D256" s="9" t="s">
        <v>300</v>
      </c>
      <c r="E256" s="3" t="s">
        <v>110</v>
      </c>
    </row>
    <row r="257" spans="1:5" x14ac:dyDescent="0.3">
      <c r="A257" s="2">
        <v>256</v>
      </c>
      <c r="B257" s="2" t="s">
        <v>267</v>
      </c>
      <c r="C257" s="2" t="s">
        <v>73</v>
      </c>
      <c r="D257" s="9" t="s">
        <v>300</v>
      </c>
      <c r="E257" s="3" t="s">
        <v>110</v>
      </c>
    </row>
    <row r="258" spans="1:5" x14ac:dyDescent="0.3">
      <c r="A258" s="2">
        <v>257</v>
      </c>
      <c r="B258" s="2" t="s">
        <v>268</v>
      </c>
      <c r="C258" s="2" t="s">
        <v>233</v>
      </c>
      <c r="D258" s="9" t="s">
        <v>300</v>
      </c>
      <c r="E258" s="3" t="s">
        <v>110</v>
      </c>
    </row>
    <row r="259" spans="1:5" x14ac:dyDescent="0.3">
      <c r="A259" s="2">
        <v>258</v>
      </c>
      <c r="B259" s="2" t="s">
        <v>269</v>
      </c>
      <c r="C259" s="2" t="s">
        <v>224</v>
      </c>
      <c r="D259" s="9" t="s">
        <v>300</v>
      </c>
      <c r="E259" s="3" t="s">
        <v>110</v>
      </c>
    </row>
    <row r="260" spans="1:5" x14ac:dyDescent="0.3">
      <c r="A260" s="2">
        <v>259</v>
      </c>
      <c r="B260" s="2" t="s">
        <v>270</v>
      </c>
      <c r="C260" s="2" t="s">
        <v>233</v>
      </c>
      <c r="D260" s="9" t="s">
        <v>300</v>
      </c>
      <c r="E260" s="3" t="s">
        <v>110</v>
      </c>
    </row>
    <row r="261" spans="1:5" x14ac:dyDescent="0.3">
      <c r="A261" s="2">
        <v>260</v>
      </c>
      <c r="B261" s="2" t="s">
        <v>271</v>
      </c>
      <c r="C261" s="2" t="s">
        <v>73</v>
      </c>
      <c r="D261" s="9" t="s">
        <v>300</v>
      </c>
      <c r="E261" s="3" t="s">
        <v>110</v>
      </c>
    </row>
    <row r="262" spans="1:5" x14ac:dyDescent="0.3">
      <c r="A262" s="2">
        <v>261</v>
      </c>
      <c r="B262" s="2" t="s">
        <v>222</v>
      </c>
      <c r="C262" s="2" t="s">
        <v>4</v>
      </c>
      <c r="D262" s="9" t="s">
        <v>300</v>
      </c>
      <c r="E262" s="3" t="s">
        <v>110</v>
      </c>
    </row>
    <row r="263" spans="1:5" x14ac:dyDescent="0.3">
      <c r="A263" s="2">
        <v>262</v>
      </c>
      <c r="B263" s="2" t="s">
        <v>272</v>
      </c>
      <c r="C263" s="2" t="s">
        <v>73</v>
      </c>
      <c r="D263" s="9" t="s">
        <v>300</v>
      </c>
      <c r="E263" s="3" t="s">
        <v>110</v>
      </c>
    </row>
    <row r="264" spans="1:5" x14ac:dyDescent="0.3">
      <c r="A264" s="2">
        <v>263</v>
      </c>
      <c r="B264" s="2" t="s">
        <v>273</v>
      </c>
      <c r="C264" s="2" t="s">
        <v>233</v>
      </c>
      <c r="D264" s="9" t="s">
        <v>300</v>
      </c>
      <c r="E264" s="3" t="s">
        <v>110</v>
      </c>
    </row>
    <row r="265" spans="1:5" x14ac:dyDescent="0.3">
      <c r="A265" s="2">
        <v>264</v>
      </c>
      <c r="B265" s="2" t="s">
        <v>274</v>
      </c>
      <c r="C265" s="2" t="s">
        <v>233</v>
      </c>
      <c r="D265" s="9" t="s">
        <v>300</v>
      </c>
      <c r="E265" s="3" t="s">
        <v>110</v>
      </c>
    </row>
    <row r="266" spans="1:5" x14ac:dyDescent="0.3">
      <c r="A266" s="2">
        <v>265</v>
      </c>
      <c r="B266" s="2" t="s">
        <v>275</v>
      </c>
      <c r="C266" s="2" t="s">
        <v>224</v>
      </c>
      <c r="D266" s="9" t="s">
        <v>300</v>
      </c>
      <c r="E266" s="3" t="s">
        <v>110</v>
      </c>
    </row>
    <row r="267" spans="1:5" x14ac:dyDescent="0.3">
      <c r="A267" s="2">
        <v>266</v>
      </c>
      <c r="B267" s="2" t="s">
        <v>276</v>
      </c>
      <c r="C267" s="2" t="s">
        <v>73</v>
      </c>
      <c r="D267" s="9" t="s">
        <v>300</v>
      </c>
      <c r="E267" s="3" t="s">
        <v>110</v>
      </c>
    </row>
    <row r="268" spans="1:5" x14ac:dyDescent="0.3">
      <c r="A268" s="2">
        <v>267</v>
      </c>
      <c r="B268" s="2" t="s">
        <v>277</v>
      </c>
      <c r="C268" s="2" t="s">
        <v>73</v>
      </c>
      <c r="D268" s="9" t="s">
        <v>300</v>
      </c>
      <c r="E268" s="3" t="s">
        <v>110</v>
      </c>
    </row>
    <row r="269" spans="1:5" x14ac:dyDescent="0.3">
      <c r="A269" s="2">
        <v>268</v>
      </c>
      <c r="B269" s="2" t="s">
        <v>278</v>
      </c>
      <c r="C269" s="2" t="s">
        <v>233</v>
      </c>
      <c r="D269" s="9" t="s">
        <v>300</v>
      </c>
      <c r="E269" s="3" t="s">
        <v>110</v>
      </c>
    </row>
    <row r="270" spans="1:5" x14ac:dyDescent="0.3">
      <c r="A270" s="2">
        <v>269</v>
      </c>
      <c r="B270" s="2" t="s">
        <v>279</v>
      </c>
      <c r="C270" s="2" t="s">
        <v>224</v>
      </c>
      <c r="D270" s="9" t="s">
        <v>300</v>
      </c>
      <c r="E270" s="3" t="s">
        <v>110</v>
      </c>
    </row>
    <row r="271" spans="1:5" x14ac:dyDescent="0.3">
      <c r="A271" s="2">
        <v>270</v>
      </c>
      <c r="B271" s="2" t="s">
        <v>238</v>
      </c>
      <c r="C271" s="2" t="s">
        <v>233</v>
      </c>
      <c r="D271" s="9" t="s">
        <v>300</v>
      </c>
      <c r="E271" s="3" t="s">
        <v>110</v>
      </c>
    </row>
    <row r="272" spans="1:5" x14ac:dyDescent="0.3">
      <c r="A272" s="2">
        <v>271</v>
      </c>
      <c r="B272" s="2" t="s">
        <v>236</v>
      </c>
      <c r="C272" s="2" t="s">
        <v>233</v>
      </c>
      <c r="D272" s="9" t="s">
        <v>300</v>
      </c>
      <c r="E272" s="3" t="s">
        <v>110</v>
      </c>
    </row>
    <row r="273" spans="1:5" x14ac:dyDescent="0.3">
      <c r="A273" s="2">
        <v>272</v>
      </c>
      <c r="B273" s="2" t="s">
        <v>280</v>
      </c>
      <c r="C273" s="2" t="s">
        <v>224</v>
      </c>
      <c r="D273" s="9" t="s">
        <v>300</v>
      </c>
      <c r="E273" s="3" t="s">
        <v>110</v>
      </c>
    </row>
    <row r="274" spans="1:5" x14ac:dyDescent="0.3">
      <c r="A274" s="2">
        <v>273</v>
      </c>
      <c r="B274" s="2" t="s">
        <v>228</v>
      </c>
      <c r="C274" s="2" t="s">
        <v>4</v>
      </c>
      <c r="D274" s="9" t="s">
        <v>300</v>
      </c>
      <c r="E274" s="3" t="s">
        <v>110</v>
      </c>
    </row>
    <row r="275" spans="1:5" x14ac:dyDescent="0.3">
      <c r="A275" s="2">
        <v>274</v>
      </c>
      <c r="B275" s="2" t="s">
        <v>281</v>
      </c>
      <c r="C275" s="2" t="s">
        <v>233</v>
      </c>
      <c r="D275" s="9" t="s">
        <v>300</v>
      </c>
      <c r="E275" s="3" t="s">
        <v>110</v>
      </c>
    </row>
    <row r="276" spans="1:5" x14ac:dyDescent="0.3">
      <c r="A276" s="2">
        <v>275</v>
      </c>
      <c r="B276" s="2" t="s">
        <v>282</v>
      </c>
      <c r="C276" s="2" t="s">
        <v>233</v>
      </c>
      <c r="D276" s="9" t="s">
        <v>300</v>
      </c>
      <c r="E276" s="3" t="s">
        <v>110</v>
      </c>
    </row>
    <row r="277" spans="1:5" x14ac:dyDescent="0.3">
      <c r="A277" s="2">
        <v>276</v>
      </c>
      <c r="B277" s="2" t="s">
        <v>283</v>
      </c>
      <c r="C277" s="2" t="s">
        <v>233</v>
      </c>
      <c r="D277" s="9" t="s">
        <v>300</v>
      </c>
      <c r="E277" s="3" t="s">
        <v>110</v>
      </c>
    </row>
    <row r="278" spans="1:5" x14ac:dyDescent="0.3">
      <c r="A278" s="2">
        <v>277</v>
      </c>
      <c r="B278" s="2" t="s">
        <v>284</v>
      </c>
      <c r="C278" s="2" t="s">
        <v>233</v>
      </c>
      <c r="D278" s="9" t="s">
        <v>300</v>
      </c>
      <c r="E278" s="3" t="s">
        <v>110</v>
      </c>
    </row>
    <row r="279" spans="1:5" x14ac:dyDescent="0.3">
      <c r="A279" s="2">
        <v>278</v>
      </c>
      <c r="B279" s="2" t="s">
        <v>285</v>
      </c>
      <c r="C279" s="2" t="s">
        <v>233</v>
      </c>
      <c r="D279" s="9" t="s">
        <v>300</v>
      </c>
      <c r="E279" s="3" t="s">
        <v>110</v>
      </c>
    </row>
    <row r="280" spans="1:5" x14ac:dyDescent="0.3">
      <c r="A280" s="2">
        <v>279</v>
      </c>
      <c r="B280" s="2" t="s">
        <v>286</v>
      </c>
      <c r="C280" s="2" t="s">
        <v>233</v>
      </c>
      <c r="D280" s="9" t="s">
        <v>300</v>
      </c>
      <c r="E280" s="3" t="s">
        <v>110</v>
      </c>
    </row>
    <row r="281" spans="1:5" x14ac:dyDescent="0.3">
      <c r="A281" s="2">
        <v>280</v>
      </c>
      <c r="B281" s="2" t="s">
        <v>287</v>
      </c>
      <c r="C281" s="2" t="s">
        <v>73</v>
      </c>
      <c r="D281" s="9" t="s">
        <v>300</v>
      </c>
      <c r="E281" s="3" t="s">
        <v>110</v>
      </c>
    </row>
    <row r="282" spans="1:5" x14ac:dyDescent="0.3">
      <c r="A282" s="2">
        <v>281</v>
      </c>
      <c r="B282" s="2" t="s">
        <v>288</v>
      </c>
      <c r="C282" s="2" t="s">
        <v>233</v>
      </c>
      <c r="D282" s="9" t="s">
        <v>300</v>
      </c>
      <c r="E282" s="3" t="s">
        <v>110</v>
      </c>
    </row>
    <row r="283" spans="1:5" x14ac:dyDescent="0.3">
      <c r="A283" s="2">
        <v>282</v>
      </c>
      <c r="B283" s="2" t="s">
        <v>289</v>
      </c>
      <c r="C283" s="2" t="s">
        <v>233</v>
      </c>
      <c r="D283" s="9" t="s">
        <v>300</v>
      </c>
      <c r="E283" s="3" t="s">
        <v>110</v>
      </c>
    </row>
    <row r="284" spans="1:5" x14ac:dyDescent="0.3">
      <c r="A284" s="2">
        <v>283</v>
      </c>
      <c r="B284" s="2" t="s">
        <v>234</v>
      </c>
      <c r="C284" s="2" t="s">
        <v>233</v>
      </c>
      <c r="D284" s="9" t="s">
        <v>300</v>
      </c>
      <c r="E284" s="3" t="s">
        <v>110</v>
      </c>
    </row>
    <row r="285" spans="1:5" x14ac:dyDescent="0.3">
      <c r="A285" s="2">
        <v>284</v>
      </c>
      <c r="B285" s="2" t="s">
        <v>232</v>
      </c>
      <c r="C285" s="2" t="s">
        <v>233</v>
      </c>
      <c r="D285" s="9" t="s">
        <v>300</v>
      </c>
      <c r="E285" s="3" t="s">
        <v>110</v>
      </c>
    </row>
    <row r="286" spans="1:5" x14ac:dyDescent="0.3">
      <c r="A286" s="2">
        <v>285</v>
      </c>
      <c r="B286" s="2" t="s">
        <v>230</v>
      </c>
      <c r="C286" s="2" t="s">
        <v>73</v>
      </c>
      <c r="D286" s="9" t="s">
        <v>300</v>
      </c>
      <c r="E286" s="3" t="s">
        <v>110</v>
      </c>
    </row>
    <row r="287" spans="1:5" x14ac:dyDescent="0.3">
      <c r="A287" s="2">
        <v>286</v>
      </c>
      <c r="B287" s="2" t="s">
        <v>254</v>
      </c>
      <c r="C287" s="2" t="s">
        <v>73</v>
      </c>
      <c r="D287" s="9" t="s">
        <v>300</v>
      </c>
      <c r="E287" s="3" t="s">
        <v>110</v>
      </c>
    </row>
    <row r="288" spans="1:5" x14ac:dyDescent="0.3">
      <c r="A288" s="2">
        <v>287</v>
      </c>
      <c r="B288" s="2" t="s">
        <v>251</v>
      </c>
      <c r="C288" s="2" t="s">
        <v>73</v>
      </c>
      <c r="D288" s="9" t="s">
        <v>300</v>
      </c>
      <c r="E288" s="3" t="s">
        <v>110</v>
      </c>
    </row>
    <row r="289" spans="1:5" x14ac:dyDescent="0.3">
      <c r="A289" s="2">
        <v>288</v>
      </c>
      <c r="B289" s="2" t="s">
        <v>253</v>
      </c>
      <c r="C289" s="2" t="s">
        <v>73</v>
      </c>
      <c r="D289" s="9" t="s">
        <v>300</v>
      </c>
      <c r="E289" s="3" t="s">
        <v>110</v>
      </c>
    </row>
    <row r="290" spans="1:5" x14ac:dyDescent="0.3">
      <c r="A290" s="2">
        <v>289</v>
      </c>
      <c r="B290" s="2" t="s">
        <v>256</v>
      </c>
      <c r="C290" s="2" t="s">
        <v>73</v>
      </c>
      <c r="D290" s="9" t="s">
        <v>300</v>
      </c>
      <c r="E290" s="3" t="s">
        <v>110</v>
      </c>
    </row>
    <row r="291" spans="1:5" x14ac:dyDescent="0.3">
      <c r="A291" s="2">
        <v>290</v>
      </c>
      <c r="B291" s="2" t="s">
        <v>243</v>
      </c>
      <c r="C291" s="2" t="s">
        <v>73</v>
      </c>
      <c r="D291" s="9" t="s">
        <v>300</v>
      </c>
      <c r="E291" s="3" t="s">
        <v>110</v>
      </c>
    </row>
    <row r="292" spans="1:5" x14ac:dyDescent="0.3">
      <c r="A292" s="2">
        <v>291</v>
      </c>
      <c r="B292" s="2" t="s">
        <v>290</v>
      </c>
      <c r="C292" s="2" t="s">
        <v>233</v>
      </c>
      <c r="D292" s="9" t="s">
        <v>300</v>
      </c>
      <c r="E292" s="3" t="s">
        <v>110</v>
      </c>
    </row>
    <row r="293" spans="1:5" x14ac:dyDescent="0.3">
      <c r="A293" s="2">
        <v>292</v>
      </c>
      <c r="B293" s="2" t="s">
        <v>291</v>
      </c>
      <c r="C293" s="2" t="s">
        <v>73</v>
      </c>
      <c r="D293" s="9" t="s">
        <v>300</v>
      </c>
      <c r="E293" s="3" t="s">
        <v>110</v>
      </c>
    </row>
    <row r="294" spans="1:5" x14ac:dyDescent="0.3">
      <c r="A294" s="2">
        <v>293</v>
      </c>
      <c r="B294" s="2" t="s">
        <v>292</v>
      </c>
      <c r="C294" s="2" t="s">
        <v>233</v>
      </c>
      <c r="D294" s="9" t="s">
        <v>300</v>
      </c>
      <c r="E294" s="3" t="s">
        <v>110</v>
      </c>
    </row>
    <row r="295" spans="1:5" x14ac:dyDescent="0.3">
      <c r="A295" s="2">
        <v>294</v>
      </c>
      <c r="B295" s="2" t="s">
        <v>293</v>
      </c>
      <c r="C295" s="2" t="s">
        <v>233</v>
      </c>
      <c r="D295" s="9" t="s">
        <v>300</v>
      </c>
      <c r="E295" s="3" t="s">
        <v>110</v>
      </c>
    </row>
    <row r="296" spans="1:5" x14ac:dyDescent="0.3">
      <c r="A296" s="2">
        <v>295</v>
      </c>
      <c r="B296" s="2" t="s">
        <v>294</v>
      </c>
      <c r="C296" s="2" t="s">
        <v>224</v>
      </c>
      <c r="D296" s="9" t="s">
        <v>300</v>
      </c>
      <c r="E296" s="3" t="s">
        <v>110</v>
      </c>
    </row>
    <row r="297" spans="1:5" x14ac:dyDescent="0.3">
      <c r="A297" s="2">
        <v>296</v>
      </c>
      <c r="B297" s="2" t="s">
        <v>295</v>
      </c>
      <c r="C297" s="2" t="s">
        <v>233</v>
      </c>
      <c r="D297" s="9" t="s">
        <v>300</v>
      </c>
      <c r="E297" s="3" t="s">
        <v>110</v>
      </c>
    </row>
    <row r="298" spans="1:5" x14ac:dyDescent="0.3">
      <c r="A298" s="2">
        <v>297</v>
      </c>
      <c r="B298" s="2" t="s">
        <v>296</v>
      </c>
      <c r="C298" s="2" t="s">
        <v>224</v>
      </c>
      <c r="D298" s="9" t="s">
        <v>300</v>
      </c>
      <c r="E298" s="3" t="s">
        <v>110</v>
      </c>
    </row>
    <row r="299" spans="1:5" x14ac:dyDescent="0.3">
      <c r="A299" s="2">
        <v>298</v>
      </c>
      <c r="B299" s="2" t="s">
        <v>297</v>
      </c>
      <c r="C299" s="2" t="s">
        <v>224</v>
      </c>
      <c r="D299" s="9" t="s">
        <v>300</v>
      </c>
      <c r="E299" s="3" t="s">
        <v>110</v>
      </c>
    </row>
    <row r="300" spans="1:5" x14ac:dyDescent="0.3">
      <c r="A300" s="2">
        <v>299</v>
      </c>
      <c r="B300" s="2" t="s">
        <v>298</v>
      </c>
      <c r="C300" s="2" t="s">
        <v>73</v>
      </c>
      <c r="D300" s="9" t="s">
        <v>300</v>
      </c>
      <c r="E300" s="3" t="s">
        <v>110</v>
      </c>
    </row>
    <row r="301" spans="1:5" x14ac:dyDescent="0.3">
      <c r="A301" s="2">
        <v>300</v>
      </c>
      <c r="B301" s="2" t="s">
        <v>299</v>
      </c>
      <c r="C301" s="2" t="s">
        <v>224</v>
      </c>
      <c r="D301" s="9" t="s">
        <v>300</v>
      </c>
      <c r="E301" s="3" t="s">
        <v>110</v>
      </c>
    </row>
    <row r="302" spans="1:5" hidden="1" x14ac:dyDescent="0.3">
      <c r="A302" s="2">
        <v>301</v>
      </c>
      <c r="B302" s="2" t="s">
        <v>301</v>
      </c>
      <c r="C302" s="2" t="s">
        <v>4</v>
      </c>
      <c r="D302" s="9" t="s">
        <v>387</v>
      </c>
      <c r="E302" s="3" t="s">
        <v>110</v>
      </c>
    </row>
    <row r="303" spans="1:5" hidden="1" x14ac:dyDescent="0.3">
      <c r="A303" s="2">
        <v>302</v>
      </c>
      <c r="B303" s="2" t="s">
        <v>302</v>
      </c>
      <c r="C303" s="2" t="s">
        <v>4</v>
      </c>
      <c r="D303" s="9" t="s">
        <v>387</v>
      </c>
      <c r="E303" s="3" t="s">
        <v>110</v>
      </c>
    </row>
    <row r="304" spans="1:5" hidden="1" x14ac:dyDescent="0.3">
      <c r="A304" s="2">
        <v>303</v>
      </c>
      <c r="B304" s="2" t="s">
        <v>303</v>
      </c>
      <c r="C304" s="2" t="s">
        <v>4</v>
      </c>
      <c r="D304" s="9" t="s">
        <v>387</v>
      </c>
      <c r="E304" s="3" t="s">
        <v>110</v>
      </c>
    </row>
    <row r="305" spans="1:5" hidden="1" x14ac:dyDescent="0.3">
      <c r="A305" s="2">
        <v>304</v>
      </c>
      <c r="B305" s="2" t="s">
        <v>304</v>
      </c>
      <c r="C305" s="2" t="s">
        <v>4</v>
      </c>
      <c r="D305" s="9" t="s">
        <v>387</v>
      </c>
      <c r="E305" s="3" t="s">
        <v>110</v>
      </c>
    </row>
    <row r="306" spans="1:5" hidden="1" x14ac:dyDescent="0.3">
      <c r="A306" s="2">
        <v>305</v>
      </c>
      <c r="B306" s="2" t="s">
        <v>305</v>
      </c>
      <c r="C306" s="2" t="s">
        <v>4</v>
      </c>
      <c r="D306" s="9" t="s">
        <v>387</v>
      </c>
      <c r="E306" s="3" t="s">
        <v>110</v>
      </c>
    </row>
    <row r="307" spans="1:5" hidden="1" x14ac:dyDescent="0.3">
      <c r="A307" s="2">
        <v>306</v>
      </c>
      <c r="B307" s="2" t="s">
        <v>306</v>
      </c>
      <c r="C307" s="2" t="s">
        <v>4</v>
      </c>
      <c r="D307" s="9" t="s">
        <v>387</v>
      </c>
      <c r="E307" s="3" t="s">
        <v>110</v>
      </c>
    </row>
    <row r="308" spans="1:5" hidden="1" x14ac:dyDescent="0.3">
      <c r="A308" s="2">
        <v>307</v>
      </c>
      <c r="B308" s="2" t="s">
        <v>307</v>
      </c>
      <c r="C308" s="2" t="s">
        <v>4</v>
      </c>
      <c r="D308" s="9" t="s">
        <v>387</v>
      </c>
      <c r="E308" s="3" t="s">
        <v>110</v>
      </c>
    </row>
    <row r="309" spans="1:5" hidden="1" x14ac:dyDescent="0.3">
      <c r="A309" s="2">
        <v>308</v>
      </c>
      <c r="B309" s="2" t="s">
        <v>308</v>
      </c>
      <c r="C309" s="2" t="s">
        <v>4</v>
      </c>
      <c r="D309" s="9" t="s">
        <v>387</v>
      </c>
      <c r="E309" s="3" t="s">
        <v>110</v>
      </c>
    </row>
    <row r="310" spans="1:5" hidden="1" x14ac:dyDescent="0.3">
      <c r="A310" s="2">
        <v>309</v>
      </c>
      <c r="B310" s="2" t="s">
        <v>309</v>
      </c>
      <c r="C310" s="2" t="s">
        <v>4</v>
      </c>
      <c r="D310" s="9" t="s">
        <v>387</v>
      </c>
      <c r="E310" s="3" t="s">
        <v>110</v>
      </c>
    </row>
    <row r="311" spans="1:5" hidden="1" x14ac:dyDescent="0.3">
      <c r="A311" s="2">
        <v>310</v>
      </c>
      <c r="B311" s="2" t="s">
        <v>310</v>
      </c>
      <c r="C311" s="2" t="s">
        <v>4</v>
      </c>
      <c r="D311" s="9" t="s">
        <v>387</v>
      </c>
      <c r="E311" s="3" t="s">
        <v>110</v>
      </c>
    </row>
    <row r="312" spans="1:5" hidden="1" x14ac:dyDescent="0.3">
      <c r="A312" s="2">
        <v>311</v>
      </c>
      <c r="B312" s="2" t="s">
        <v>311</v>
      </c>
      <c r="C312" s="2" t="s">
        <v>4</v>
      </c>
      <c r="D312" s="9" t="s">
        <v>387</v>
      </c>
      <c r="E312" s="3" t="s">
        <v>110</v>
      </c>
    </row>
    <row r="313" spans="1:5" hidden="1" x14ac:dyDescent="0.3">
      <c r="A313" s="2">
        <v>312</v>
      </c>
      <c r="B313" s="2" t="s">
        <v>312</v>
      </c>
      <c r="C313" s="2" t="s">
        <v>4</v>
      </c>
      <c r="D313" s="9" t="s">
        <v>387</v>
      </c>
      <c r="E313" s="3" t="s">
        <v>110</v>
      </c>
    </row>
    <row r="314" spans="1:5" hidden="1" x14ac:dyDescent="0.3">
      <c r="A314" s="2">
        <v>313</v>
      </c>
      <c r="B314" s="2" t="s">
        <v>313</v>
      </c>
      <c r="C314" s="2" t="s">
        <v>4</v>
      </c>
      <c r="D314" s="9" t="s">
        <v>387</v>
      </c>
      <c r="E314" s="3" t="s">
        <v>110</v>
      </c>
    </row>
    <row r="315" spans="1:5" hidden="1" x14ac:dyDescent="0.3">
      <c r="A315" s="2">
        <v>314</v>
      </c>
      <c r="B315" s="2" t="s">
        <v>314</v>
      </c>
      <c r="C315" s="2" t="s">
        <v>4</v>
      </c>
      <c r="D315" s="9" t="s">
        <v>387</v>
      </c>
      <c r="E315" s="3" t="s">
        <v>110</v>
      </c>
    </row>
    <row r="316" spans="1:5" hidden="1" x14ac:dyDescent="0.3">
      <c r="A316" s="2">
        <v>315</v>
      </c>
      <c r="B316" s="2" t="s">
        <v>315</v>
      </c>
      <c r="C316" s="2" t="s">
        <v>4</v>
      </c>
      <c r="D316" s="9" t="s">
        <v>387</v>
      </c>
      <c r="E316" s="3" t="s">
        <v>110</v>
      </c>
    </row>
    <row r="317" spans="1:5" hidden="1" x14ac:dyDescent="0.3">
      <c r="A317" s="2">
        <v>316</v>
      </c>
      <c r="B317" s="2" t="s">
        <v>316</v>
      </c>
      <c r="C317" s="2" t="s">
        <v>317</v>
      </c>
      <c r="D317" s="9" t="s">
        <v>387</v>
      </c>
      <c r="E317" s="3" t="s">
        <v>110</v>
      </c>
    </row>
    <row r="318" spans="1:5" hidden="1" x14ac:dyDescent="0.3">
      <c r="A318" s="2">
        <v>317</v>
      </c>
      <c r="B318" s="2" t="s">
        <v>318</v>
      </c>
      <c r="C318" s="2" t="s">
        <v>317</v>
      </c>
      <c r="D318" s="9" t="s">
        <v>387</v>
      </c>
      <c r="E318" s="3" t="s">
        <v>110</v>
      </c>
    </row>
    <row r="319" spans="1:5" hidden="1" x14ac:dyDescent="0.3">
      <c r="A319" s="2">
        <v>318</v>
      </c>
      <c r="B319" s="2" t="s">
        <v>319</v>
      </c>
      <c r="C319" s="2" t="s">
        <v>40</v>
      </c>
      <c r="D319" s="9" t="s">
        <v>387</v>
      </c>
      <c r="E319" s="3" t="s">
        <v>110</v>
      </c>
    </row>
    <row r="320" spans="1:5" hidden="1" x14ac:dyDescent="0.3">
      <c r="A320" s="2">
        <v>319</v>
      </c>
      <c r="B320" s="2" t="s">
        <v>320</v>
      </c>
      <c r="C320" s="2" t="s">
        <v>40</v>
      </c>
      <c r="D320" s="9" t="s">
        <v>387</v>
      </c>
      <c r="E320" s="3" t="s">
        <v>110</v>
      </c>
    </row>
    <row r="321" spans="1:5" hidden="1" x14ac:dyDescent="0.3">
      <c r="A321" s="2">
        <v>320</v>
      </c>
      <c r="B321" s="2" t="s">
        <v>321</v>
      </c>
      <c r="C321" s="2" t="s">
        <v>40</v>
      </c>
      <c r="D321" s="9" t="s">
        <v>387</v>
      </c>
      <c r="E321" s="3" t="s">
        <v>110</v>
      </c>
    </row>
    <row r="322" spans="1:5" hidden="1" x14ac:dyDescent="0.3">
      <c r="A322" s="2">
        <v>321</v>
      </c>
      <c r="B322" s="2" t="s">
        <v>322</v>
      </c>
      <c r="C322" s="2" t="s">
        <v>4</v>
      </c>
      <c r="D322" s="9" t="s">
        <v>387</v>
      </c>
      <c r="E322" s="3" t="s">
        <v>110</v>
      </c>
    </row>
    <row r="323" spans="1:5" hidden="1" x14ac:dyDescent="0.3">
      <c r="A323" s="2">
        <v>322</v>
      </c>
      <c r="B323" s="2" t="s">
        <v>323</v>
      </c>
      <c r="C323" s="2" t="s">
        <v>4</v>
      </c>
      <c r="D323" s="9" t="s">
        <v>387</v>
      </c>
      <c r="E323" s="3" t="s">
        <v>110</v>
      </c>
    </row>
    <row r="324" spans="1:5" hidden="1" x14ac:dyDescent="0.3">
      <c r="A324" s="2">
        <v>323</v>
      </c>
      <c r="B324" s="2" t="s">
        <v>324</v>
      </c>
      <c r="C324" s="2" t="s">
        <v>317</v>
      </c>
      <c r="D324" s="9" t="s">
        <v>387</v>
      </c>
      <c r="E324" s="3" t="s">
        <v>110</v>
      </c>
    </row>
    <row r="325" spans="1:5" hidden="1" x14ac:dyDescent="0.3">
      <c r="A325" s="2">
        <v>324</v>
      </c>
      <c r="B325" s="2" t="s">
        <v>325</v>
      </c>
      <c r="C325" s="2" t="s">
        <v>317</v>
      </c>
      <c r="D325" s="9" t="s">
        <v>387</v>
      </c>
      <c r="E325" s="3" t="s">
        <v>110</v>
      </c>
    </row>
    <row r="326" spans="1:5" hidden="1" x14ac:dyDescent="0.3">
      <c r="A326" s="2">
        <v>325</v>
      </c>
      <c r="B326" s="2" t="s">
        <v>326</v>
      </c>
      <c r="C326" s="2" t="s">
        <v>317</v>
      </c>
      <c r="D326" s="9" t="s">
        <v>387</v>
      </c>
      <c r="E326" s="3" t="s">
        <v>110</v>
      </c>
    </row>
    <row r="327" spans="1:5" hidden="1" x14ac:dyDescent="0.3">
      <c r="A327" s="2">
        <v>326</v>
      </c>
      <c r="B327" s="2" t="s">
        <v>327</v>
      </c>
      <c r="C327" s="2" t="s">
        <v>40</v>
      </c>
      <c r="D327" s="9" t="s">
        <v>387</v>
      </c>
      <c r="E327" s="3" t="s">
        <v>110</v>
      </c>
    </row>
    <row r="328" spans="1:5" hidden="1" x14ac:dyDescent="0.3">
      <c r="A328" s="2">
        <v>327</v>
      </c>
      <c r="B328" s="2" t="s">
        <v>328</v>
      </c>
      <c r="C328" s="2" t="s">
        <v>40</v>
      </c>
      <c r="D328" s="9" t="s">
        <v>387</v>
      </c>
      <c r="E328" s="3" t="s">
        <v>110</v>
      </c>
    </row>
    <row r="329" spans="1:5" hidden="1" x14ac:dyDescent="0.3">
      <c r="A329" s="2">
        <v>328</v>
      </c>
      <c r="B329" s="2" t="s">
        <v>329</v>
      </c>
      <c r="C329" s="2" t="s">
        <v>317</v>
      </c>
      <c r="D329" s="9" t="s">
        <v>387</v>
      </c>
      <c r="E329" s="3" t="s">
        <v>110</v>
      </c>
    </row>
    <row r="330" spans="1:5" hidden="1" x14ac:dyDescent="0.3">
      <c r="A330" s="2">
        <v>329</v>
      </c>
      <c r="B330" s="2" t="s">
        <v>330</v>
      </c>
      <c r="C330" s="2" t="s">
        <v>73</v>
      </c>
      <c r="D330" s="9" t="s">
        <v>387</v>
      </c>
      <c r="E330" s="3" t="s">
        <v>110</v>
      </c>
    </row>
    <row r="331" spans="1:5" hidden="1" x14ac:dyDescent="0.3">
      <c r="A331" s="2">
        <v>330</v>
      </c>
      <c r="B331" s="2" t="s">
        <v>331</v>
      </c>
      <c r="C331" s="2" t="s">
        <v>40</v>
      </c>
      <c r="D331" s="9" t="s">
        <v>387</v>
      </c>
      <c r="E331" s="3" t="s">
        <v>110</v>
      </c>
    </row>
    <row r="332" spans="1:5" hidden="1" x14ac:dyDescent="0.3">
      <c r="A332" s="2">
        <v>331</v>
      </c>
      <c r="B332" s="2" t="s">
        <v>332</v>
      </c>
      <c r="C332" s="2" t="s">
        <v>40</v>
      </c>
      <c r="D332" s="9" t="s">
        <v>387</v>
      </c>
      <c r="E332" s="3" t="s">
        <v>110</v>
      </c>
    </row>
    <row r="333" spans="1:5" hidden="1" x14ac:dyDescent="0.3">
      <c r="A333" s="2">
        <v>332</v>
      </c>
      <c r="B333" s="2" t="s">
        <v>333</v>
      </c>
      <c r="C333" s="2" t="s">
        <v>40</v>
      </c>
      <c r="D333" s="9" t="s">
        <v>387</v>
      </c>
      <c r="E333" s="3" t="s">
        <v>110</v>
      </c>
    </row>
    <row r="334" spans="1:5" hidden="1" x14ac:dyDescent="0.3">
      <c r="A334" s="2">
        <v>333</v>
      </c>
      <c r="B334" s="2" t="s">
        <v>334</v>
      </c>
      <c r="C334" s="2" t="s">
        <v>40</v>
      </c>
      <c r="D334" s="9" t="s">
        <v>387</v>
      </c>
      <c r="E334" s="3" t="s">
        <v>110</v>
      </c>
    </row>
    <row r="335" spans="1:5" hidden="1" x14ac:dyDescent="0.3">
      <c r="A335" s="2">
        <v>334</v>
      </c>
      <c r="B335" s="2" t="s">
        <v>335</v>
      </c>
      <c r="C335" s="2" t="s">
        <v>40</v>
      </c>
      <c r="D335" s="9" t="s">
        <v>387</v>
      </c>
      <c r="E335" s="3" t="s">
        <v>110</v>
      </c>
    </row>
    <row r="336" spans="1:5" hidden="1" x14ac:dyDescent="0.3">
      <c r="A336" s="2">
        <v>335</v>
      </c>
      <c r="B336" s="2" t="s">
        <v>336</v>
      </c>
      <c r="C336" s="2" t="s">
        <v>40</v>
      </c>
      <c r="D336" s="9" t="s">
        <v>387</v>
      </c>
      <c r="E336" s="3" t="s">
        <v>110</v>
      </c>
    </row>
    <row r="337" spans="1:5" hidden="1" x14ac:dyDescent="0.3">
      <c r="A337" s="2">
        <v>336</v>
      </c>
      <c r="B337" s="2" t="s">
        <v>337</v>
      </c>
      <c r="C337" s="2" t="s">
        <v>317</v>
      </c>
      <c r="D337" s="9" t="s">
        <v>387</v>
      </c>
      <c r="E337" s="3" t="s">
        <v>110</v>
      </c>
    </row>
    <row r="338" spans="1:5" hidden="1" x14ac:dyDescent="0.3">
      <c r="A338" s="2">
        <v>337</v>
      </c>
      <c r="B338" s="2" t="s">
        <v>338</v>
      </c>
      <c r="C338" s="2" t="s">
        <v>40</v>
      </c>
      <c r="D338" s="9" t="s">
        <v>387</v>
      </c>
      <c r="E338" s="3" t="s">
        <v>110</v>
      </c>
    </row>
    <row r="339" spans="1:5" hidden="1" x14ac:dyDescent="0.3">
      <c r="A339" s="2">
        <v>338</v>
      </c>
      <c r="B339" s="2" t="s">
        <v>339</v>
      </c>
      <c r="C339" s="2" t="s">
        <v>40</v>
      </c>
      <c r="D339" s="9" t="s">
        <v>387</v>
      </c>
      <c r="E339" s="3" t="s">
        <v>110</v>
      </c>
    </row>
    <row r="340" spans="1:5" hidden="1" x14ac:dyDescent="0.3">
      <c r="A340" s="2">
        <v>339</v>
      </c>
      <c r="B340" s="2" t="s">
        <v>340</v>
      </c>
      <c r="C340" s="2" t="s">
        <v>73</v>
      </c>
      <c r="D340" s="9" t="s">
        <v>387</v>
      </c>
      <c r="E340" s="3" t="s">
        <v>110</v>
      </c>
    </row>
    <row r="341" spans="1:5" hidden="1" x14ac:dyDescent="0.3">
      <c r="A341" s="2">
        <v>340</v>
      </c>
      <c r="B341" s="2" t="s">
        <v>341</v>
      </c>
      <c r="C341" s="2" t="s">
        <v>73</v>
      </c>
      <c r="D341" s="9" t="s">
        <v>387</v>
      </c>
      <c r="E341" s="3" t="s">
        <v>110</v>
      </c>
    </row>
    <row r="342" spans="1:5" hidden="1" x14ac:dyDescent="0.3">
      <c r="A342" s="2">
        <v>341</v>
      </c>
      <c r="B342" s="2" t="s">
        <v>342</v>
      </c>
      <c r="C342" s="2" t="s">
        <v>40</v>
      </c>
      <c r="D342" s="9" t="s">
        <v>387</v>
      </c>
      <c r="E342" s="3" t="s">
        <v>110</v>
      </c>
    </row>
    <row r="343" spans="1:5" hidden="1" x14ac:dyDescent="0.3">
      <c r="A343" s="2">
        <v>342</v>
      </c>
      <c r="B343" s="2" t="s">
        <v>343</v>
      </c>
      <c r="C343" s="2" t="s">
        <v>73</v>
      </c>
      <c r="D343" s="9" t="s">
        <v>387</v>
      </c>
      <c r="E343" s="3" t="s">
        <v>110</v>
      </c>
    </row>
    <row r="344" spans="1:5" hidden="1" x14ac:dyDescent="0.3">
      <c r="A344" s="2">
        <v>343</v>
      </c>
      <c r="B344" s="2" t="s">
        <v>344</v>
      </c>
      <c r="C344" s="2" t="s">
        <v>40</v>
      </c>
      <c r="D344" s="9" t="s">
        <v>387</v>
      </c>
      <c r="E344" s="3" t="s">
        <v>110</v>
      </c>
    </row>
    <row r="345" spans="1:5" hidden="1" x14ac:dyDescent="0.3">
      <c r="A345" s="2">
        <v>344</v>
      </c>
      <c r="B345" s="2" t="s">
        <v>345</v>
      </c>
      <c r="C345" s="2" t="s">
        <v>73</v>
      </c>
      <c r="D345" s="9" t="s">
        <v>387</v>
      </c>
      <c r="E345" s="3" t="s">
        <v>110</v>
      </c>
    </row>
    <row r="346" spans="1:5" hidden="1" x14ac:dyDescent="0.3">
      <c r="A346" s="2">
        <v>345</v>
      </c>
      <c r="B346" s="2" t="s">
        <v>346</v>
      </c>
      <c r="C346" s="2" t="s">
        <v>73</v>
      </c>
      <c r="D346" s="9" t="s">
        <v>387</v>
      </c>
      <c r="E346" s="3" t="s">
        <v>110</v>
      </c>
    </row>
    <row r="347" spans="1:5" hidden="1" x14ac:dyDescent="0.3">
      <c r="A347" s="2">
        <v>346</v>
      </c>
      <c r="B347" s="2" t="s">
        <v>347</v>
      </c>
      <c r="C347" s="2" t="s">
        <v>317</v>
      </c>
      <c r="D347" s="9" t="s">
        <v>387</v>
      </c>
      <c r="E347" s="3" t="s">
        <v>110</v>
      </c>
    </row>
    <row r="348" spans="1:5" hidden="1" x14ac:dyDescent="0.3">
      <c r="A348" s="2">
        <v>347</v>
      </c>
      <c r="B348" s="2" t="s">
        <v>348</v>
      </c>
      <c r="C348" s="2" t="s">
        <v>73</v>
      </c>
      <c r="D348" s="9" t="s">
        <v>387</v>
      </c>
      <c r="E348" s="3" t="s">
        <v>110</v>
      </c>
    </row>
    <row r="349" spans="1:5" hidden="1" x14ac:dyDescent="0.3">
      <c r="A349" s="2">
        <v>348</v>
      </c>
      <c r="B349" s="2" t="s">
        <v>349</v>
      </c>
      <c r="C349" s="2" t="s">
        <v>317</v>
      </c>
      <c r="D349" s="9" t="s">
        <v>387</v>
      </c>
      <c r="E349" s="3" t="s">
        <v>110</v>
      </c>
    </row>
    <row r="350" spans="1:5" hidden="1" x14ac:dyDescent="0.3">
      <c r="A350" s="2">
        <v>349</v>
      </c>
      <c r="B350" s="2" t="s">
        <v>350</v>
      </c>
      <c r="C350" s="2" t="s">
        <v>73</v>
      </c>
      <c r="D350" s="9" t="s">
        <v>387</v>
      </c>
      <c r="E350" s="3" t="s">
        <v>110</v>
      </c>
    </row>
    <row r="351" spans="1:5" hidden="1" x14ac:dyDescent="0.3">
      <c r="A351" s="2">
        <v>350</v>
      </c>
      <c r="B351" s="2" t="s">
        <v>351</v>
      </c>
      <c r="C351" s="2" t="s">
        <v>73</v>
      </c>
      <c r="D351" s="9" t="s">
        <v>387</v>
      </c>
      <c r="E351" s="3" t="s">
        <v>110</v>
      </c>
    </row>
    <row r="352" spans="1:5" hidden="1" x14ac:dyDescent="0.3">
      <c r="A352" s="2">
        <v>351</v>
      </c>
      <c r="B352" s="2" t="s">
        <v>352</v>
      </c>
      <c r="C352" s="2" t="s">
        <v>40</v>
      </c>
      <c r="D352" s="9" t="s">
        <v>387</v>
      </c>
      <c r="E352" s="3" t="s">
        <v>110</v>
      </c>
    </row>
    <row r="353" spans="1:5" hidden="1" x14ac:dyDescent="0.3">
      <c r="A353" s="2">
        <v>352</v>
      </c>
      <c r="B353" s="2" t="s">
        <v>353</v>
      </c>
      <c r="C353" s="2" t="s">
        <v>40</v>
      </c>
      <c r="D353" s="9" t="s">
        <v>387</v>
      </c>
      <c r="E353" s="3" t="s">
        <v>110</v>
      </c>
    </row>
    <row r="354" spans="1:5" hidden="1" x14ac:dyDescent="0.3">
      <c r="A354" s="2">
        <v>353</v>
      </c>
      <c r="B354" s="2" t="s">
        <v>354</v>
      </c>
      <c r="C354" s="2" t="s">
        <v>40</v>
      </c>
      <c r="D354" s="9" t="s">
        <v>387</v>
      </c>
      <c r="E354" s="3" t="s">
        <v>110</v>
      </c>
    </row>
    <row r="355" spans="1:5" hidden="1" x14ac:dyDescent="0.3">
      <c r="A355" s="2">
        <v>354</v>
      </c>
      <c r="B355" s="2" t="s">
        <v>355</v>
      </c>
      <c r="C355" s="2" t="s">
        <v>317</v>
      </c>
      <c r="D355" s="9" t="s">
        <v>387</v>
      </c>
      <c r="E355" s="3" t="s">
        <v>110</v>
      </c>
    </row>
    <row r="356" spans="1:5" hidden="1" x14ac:dyDescent="0.3">
      <c r="A356" s="2">
        <v>355</v>
      </c>
      <c r="B356" s="2" t="s">
        <v>143</v>
      </c>
      <c r="C356" s="2" t="s">
        <v>4</v>
      </c>
      <c r="D356" s="9" t="s">
        <v>387</v>
      </c>
      <c r="E356" s="3" t="s">
        <v>110</v>
      </c>
    </row>
    <row r="357" spans="1:5" hidden="1" x14ac:dyDescent="0.3">
      <c r="A357" s="2">
        <v>356</v>
      </c>
      <c r="B357" s="2" t="s">
        <v>356</v>
      </c>
      <c r="C357" s="2" t="s">
        <v>40</v>
      </c>
      <c r="D357" s="9" t="s">
        <v>387</v>
      </c>
      <c r="E357" s="3" t="s">
        <v>110</v>
      </c>
    </row>
    <row r="358" spans="1:5" hidden="1" x14ac:dyDescent="0.3">
      <c r="A358" s="2">
        <v>357</v>
      </c>
      <c r="B358" s="2" t="s">
        <v>357</v>
      </c>
      <c r="C358" s="2" t="s">
        <v>73</v>
      </c>
      <c r="D358" s="9" t="s">
        <v>387</v>
      </c>
      <c r="E358" s="3" t="s">
        <v>110</v>
      </c>
    </row>
    <row r="359" spans="1:5" hidden="1" x14ac:dyDescent="0.3">
      <c r="A359" s="2">
        <v>358</v>
      </c>
      <c r="B359" s="2" t="s">
        <v>358</v>
      </c>
      <c r="C359" s="2" t="s">
        <v>73</v>
      </c>
      <c r="D359" s="9" t="s">
        <v>387</v>
      </c>
      <c r="E359" s="3" t="s">
        <v>110</v>
      </c>
    </row>
    <row r="360" spans="1:5" hidden="1" x14ac:dyDescent="0.3">
      <c r="A360" s="2">
        <v>359</v>
      </c>
      <c r="B360" s="2" t="s">
        <v>359</v>
      </c>
      <c r="C360" s="2" t="s">
        <v>73</v>
      </c>
      <c r="D360" s="9" t="s">
        <v>387</v>
      </c>
      <c r="E360" s="3" t="s">
        <v>110</v>
      </c>
    </row>
    <row r="361" spans="1:5" hidden="1" x14ac:dyDescent="0.3">
      <c r="A361" s="2">
        <v>360</v>
      </c>
      <c r="B361" s="2" t="s">
        <v>360</v>
      </c>
      <c r="C361" s="2" t="s">
        <v>40</v>
      </c>
      <c r="D361" s="9" t="s">
        <v>387</v>
      </c>
      <c r="E361" s="3" t="s">
        <v>110</v>
      </c>
    </row>
    <row r="362" spans="1:5" hidden="1" x14ac:dyDescent="0.3">
      <c r="A362" s="2">
        <v>361</v>
      </c>
      <c r="B362" s="2" t="s">
        <v>361</v>
      </c>
      <c r="C362" s="2" t="s">
        <v>73</v>
      </c>
      <c r="D362" s="9" t="s">
        <v>387</v>
      </c>
      <c r="E362" s="3" t="s">
        <v>110</v>
      </c>
    </row>
    <row r="363" spans="1:5" hidden="1" x14ac:dyDescent="0.3">
      <c r="A363" s="2">
        <v>362</v>
      </c>
      <c r="B363" s="2" t="s">
        <v>362</v>
      </c>
      <c r="C363" s="2" t="s">
        <v>73</v>
      </c>
      <c r="D363" s="9" t="s">
        <v>387</v>
      </c>
      <c r="E363" s="3" t="s">
        <v>110</v>
      </c>
    </row>
    <row r="364" spans="1:5" hidden="1" x14ac:dyDescent="0.3">
      <c r="A364" s="2">
        <v>363</v>
      </c>
      <c r="B364" s="2" t="s">
        <v>363</v>
      </c>
      <c r="C364" s="2" t="s">
        <v>40</v>
      </c>
      <c r="D364" s="9" t="s">
        <v>387</v>
      </c>
      <c r="E364" s="3" t="s">
        <v>110</v>
      </c>
    </row>
    <row r="365" spans="1:5" hidden="1" x14ac:dyDescent="0.3">
      <c r="A365" s="2">
        <v>364</v>
      </c>
      <c r="B365" s="2" t="s">
        <v>364</v>
      </c>
      <c r="C365" s="2" t="s">
        <v>73</v>
      </c>
      <c r="D365" s="9" t="s">
        <v>387</v>
      </c>
      <c r="E365" s="3" t="s">
        <v>110</v>
      </c>
    </row>
    <row r="366" spans="1:5" hidden="1" x14ac:dyDescent="0.3">
      <c r="A366" s="2">
        <v>365</v>
      </c>
      <c r="B366" s="2" t="s">
        <v>340</v>
      </c>
      <c r="C366" s="2" t="s">
        <v>73</v>
      </c>
      <c r="D366" s="9" t="s">
        <v>387</v>
      </c>
      <c r="E366" s="3" t="s">
        <v>110</v>
      </c>
    </row>
    <row r="367" spans="1:5" hidden="1" x14ac:dyDescent="0.3">
      <c r="A367" s="2">
        <v>366</v>
      </c>
      <c r="B367" s="2" t="s">
        <v>365</v>
      </c>
      <c r="C367" s="2" t="s">
        <v>73</v>
      </c>
      <c r="D367" s="9" t="s">
        <v>387</v>
      </c>
      <c r="E367" s="3" t="s">
        <v>110</v>
      </c>
    </row>
    <row r="368" spans="1:5" hidden="1" x14ac:dyDescent="0.3">
      <c r="A368" s="2">
        <v>367</v>
      </c>
      <c r="B368" s="2" t="s">
        <v>366</v>
      </c>
      <c r="C368" s="2" t="s">
        <v>73</v>
      </c>
      <c r="D368" s="9" t="s">
        <v>387</v>
      </c>
      <c r="E368" s="3" t="s">
        <v>110</v>
      </c>
    </row>
    <row r="369" spans="1:5" hidden="1" x14ac:dyDescent="0.3">
      <c r="A369" s="2">
        <v>368</v>
      </c>
      <c r="B369" s="2" t="s">
        <v>367</v>
      </c>
      <c r="C369" s="2" t="s">
        <v>73</v>
      </c>
      <c r="D369" s="9" t="s">
        <v>387</v>
      </c>
      <c r="E369" s="3" t="s">
        <v>110</v>
      </c>
    </row>
    <row r="370" spans="1:5" hidden="1" x14ac:dyDescent="0.3">
      <c r="A370" s="2">
        <v>369</v>
      </c>
      <c r="B370" s="2" t="s">
        <v>368</v>
      </c>
      <c r="C370" s="2" t="s">
        <v>40</v>
      </c>
      <c r="D370" s="9" t="s">
        <v>387</v>
      </c>
      <c r="E370" s="3" t="s">
        <v>110</v>
      </c>
    </row>
    <row r="371" spans="1:5" hidden="1" x14ac:dyDescent="0.3">
      <c r="A371" s="2">
        <v>370</v>
      </c>
      <c r="B371" s="2" t="s">
        <v>369</v>
      </c>
      <c r="C371" s="2" t="s">
        <v>73</v>
      </c>
      <c r="D371" s="9" t="s">
        <v>387</v>
      </c>
      <c r="E371" s="3" t="s">
        <v>110</v>
      </c>
    </row>
    <row r="372" spans="1:5" hidden="1" x14ac:dyDescent="0.3">
      <c r="A372" s="2">
        <v>371</v>
      </c>
      <c r="B372" s="2" t="s">
        <v>370</v>
      </c>
      <c r="C372" s="2" t="s">
        <v>73</v>
      </c>
      <c r="D372" s="9" t="s">
        <v>387</v>
      </c>
      <c r="E372" s="3" t="s">
        <v>110</v>
      </c>
    </row>
    <row r="373" spans="1:5" hidden="1" x14ac:dyDescent="0.3">
      <c r="A373" s="2">
        <v>372</v>
      </c>
      <c r="B373" s="2" t="s">
        <v>371</v>
      </c>
      <c r="C373" s="2" t="s">
        <v>40</v>
      </c>
      <c r="D373" s="9" t="s">
        <v>387</v>
      </c>
      <c r="E373" s="3" t="s">
        <v>110</v>
      </c>
    </row>
    <row r="374" spans="1:5" hidden="1" x14ac:dyDescent="0.3">
      <c r="A374" s="2">
        <v>373</v>
      </c>
      <c r="B374" s="2" t="s">
        <v>372</v>
      </c>
      <c r="C374" s="2" t="s">
        <v>73</v>
      </c>
      <c r="D374" s="9" t="s">
        <v>387</v>
      </c>
      <c r="E374" s="3" t="s">
        <v>110</v>
      </c>
    </row>
    <row r="375" spans="1:5" hidden="1" x14ac:dyDescent="0.3">
      <c r="A375" s="2">
        <v>374</v>
      </c>
      <c r="B375" s="2" t="s">
        <v>309</v>
      </c>
      <c r="C375" s="2" t="s">
        <v>4</v>
      </c>
      <c r="D375" s="9" t="s">
        <v>387</v>
      </c>
      <c r="E375" s="3" t="s">
        <v>110</v>
      </c>
    </row>
    <row r="376" spans="1:5" hidden="1" x14ac:dyDescent="0.3">
      <c r="A376" s="2">
        <v>375</v>
      </c>
      <c r="B376" s="2" t="s">
        <v>373</v>
      </c>
      <c r="C376" s="2" t="s">
        <v>73</v>
      </c>
      <c r="D376" s="9" t="s">
        <v>387</v>
      </c>
      <c r="E376" s="3" t="s">
        <v>110</v>
      </c>
    </row>
    <row r="377" spans="1:5" hidden="1" x14ac:dyDescent="0.3">
      <c r="A377" s="2">
        <v>376</v>
      </c>
      <c r="B377" s="2" t="s">
        <v>374</v>
      </c>
      <c r="C377" s="2" t="s">
        <v>73</v>
      </c>
      <c r="D377" s="9" t="s">
        <v>387</v>
      </c>
      <c r="E377" s="3" t="s">
        <v>110</v>
      </c>
    </row>
    <row r="378" spans="1:5" hidden="1" x14ac:dyDescent="0.3">
      <c r="A378" s="2">
        <v>377</v>
      </c>
      <c r="B378" s="2" t="s">
        <v>375</v>
      </c>
      <c r="C378" s="2" t="s">
        <v>73</v>
      </c>
      <c r="D378" s="9" t="s">
        <v>387</v>
      </c>
      <c r="E378" s="3" t="s">
        <v>110</v>
      </c>
    </row>
    <row r="379" spans="1:5" hidden="1" x14ac:dyDescent="0.3">
      <c r="A379" s="2">
        <v>378</v>
      </c>
      <c r="B379" s="2" t="s">
        <v>376</v>
      </c>
      <c r="C379" s="2" t="s">
        <v>40</v>
      </c>
      <c r="D379" s="9" t="s">
        <v>387</v>
      </c>
      <c r="E379" s="3" t="s">
        <v>110</v>
      </c>
    </row>
    <row r="380" spans="1:5" hidden="1" x14ac:dyDescent="0.3">
      <c r="A380" s="2">
        <v>379</v>
      </c>
      <c r="B380" s="2" t="s">
        <v>377</v>
      </c>
      <c r="C380" s="2" t="s">
        <v>73</v>
      </c>
      <c r="D380" s="9" t="s">
        <v>387</v>
      </c>
      <c r="E380" s="3" t="s">
        <v>110</v>
      </c>
    </row>
    <row r="381" spans="1:5" hidden="1" x14ac:dyDescent="0.3">
      <c r="A381" s="2">
        <v>380</v>
      </c>
      <c r="B381" s="2" t="s">
        <v>340</v>
      </c>
      <c r="C381" s="2" t="s">
        <v>73</v>
      </c>
      <c r="D381" s="9" t="s">
        <v>387</v>
      </c>
      <c r="E381" s="3" t="s">
        <v>110</v>
      </c>
    </row>
    <row r="382" spans="1:5" hidden="1" x14ac:dyDescent="0.3">
      <c r="A382" s="2">
        <v>381</v>
      </c>
      <c r="B382" s="2" t="s">
        <v>359</v>
      </c>
      <c r="C382" s="2" t="s">
        <v>73</v>
      </c>
      <c r="D382" s="9" t="s">
        <v>387</v>
      </c>
      <c r="E382" s="3" t="s">
        <v>110</v>
      </c>
    </row>
    <row r="383" spans="1:5" hidden="1" x14ac:dyDescent="0.3">
      <c r="A383" s="2">
        <v>382</v>
      </c>
      <c r="B383" s="2" t="s">
        <v>378</v>
      </c>
      <c r="C383" s="2" t="s">
        <v>73</v>
      </c>
      <c r="D383" s="9" t="s">
        <v>387</v>
      </c>
      <c r="E383" s="3" t="s">
        <v>110</v>
      </c>
    </row>
    <row r="384" spans="1:5" hidden="1" x14ac:dyDescent="0.3">
      <c r="A384" s="2">
        <v>383</v>
      </c>
      <c r="B384" s="2" t="s">
        <v>379</v>
      </c>
      <c r="C384" s="2" t="s">
        <v>73</v>
      </c>
      <c r="D384" s="9" t="s">
        <v>387</v>
      </c>
      <c r="E384" s="3" t="s">
        <v>110</v>
      </c>
    </row>
    <row r="385" spans="1:5" hidden="1" x14ac:dyDescent="0.3">
      <c r="A385" s="2">
        <v>384</v>
      </c>
      <c r="B385" s="2" t="s">
        <v>380</v>
      </c>
      <c r="C385" s="2" t="s">
        <v>73</v>
      </c>
      <c r="D385" s="9" t="s">
        <v>387</v>
      </c>
      <c r="E385" s="3" t="s">
        <v>110</v>
      </c>
    </row>
    <row r="386" spans="1:5" hidden="1" x14ac:dyDescent="0.3">
      <c r="A386" s="2">
        <v>385</v>
      </c>
      <c r="B386" s="2" t="s">
        <v>381</v>
      </c>
      <c r="C386" s="2" t="s">
        <v>317</v>
      </c>
      <c r="D386" s="9" t="s">
        <v>387</v>
      </c>
      <c r="E386" s="3" t="s">
        <v>110</v>
      </c>
    </row>
    <row r="387" spans="1:5" hidden="1" x14ac:dyDescent="0.3">
      <c r="A387" s="2">
        <v>386</v>
      </c>
      <c r="B387" s="2" t="s">
        <v>382</v>
      </c>
      <c r="C387" s="2" t="s">
        <v>73</v>
      </c>
      <c r="D387" s="9" t="s">
        <v>387</v>
      </c>
      <c r="E387" s="3" t="s">
        <v>110</v>
      </c>
    </row>
    <row r="388" spans="1:5" hidden="1" x14ac:dyDescent="0.3">
      <c r="A388" s="2">
        <v>387</v>
      </c>
      <c r="B388" s="2" t="s">
        <v>383</v>
      </c>
      <c r="C388" s="2" t="s">
        <v>317</v>
      </c>
      <c r="D388" s="9" t="s">
        <v>387</v>
      </c>
      <c r="E388" s="3" t="s">
        <v>110</v>
      </c>
    </row>
    <row r="389" spans="1:5" hidden="1" x14ac:dyDescent="0.3">
      <c r="A389" s="2">
        <v>388</v>
      </c>
      <c r="B389" s="2" t="s">
        <v>384</v>
      </c>
      <c r="C389" s="2" t="s">
        <v>317</v>
      </c>
      <c r="D389" s="9" t="s">
        <v>387</v>
      </c>
      <c r="E389" s="3" t="s">
        <v>110</v>
      </c>
    </row>
    <row r="390" spans="1:5" hidden="1" x14ac:dyDescent="0.3">
      <c r="A390" s="2">
        <v>389</v>
      </c>
      <c r="B390" s="2" t="s">
        <v>368</v>
      </c>
      <c r="C390" s="2" t="s">
        <v>40</v>
      </c>
      <c r="D390" s="9" t="s">
        <v>387</v>
      </c>
      <c r="E390" s="3" t="s">
        <v>110</v>
      </c>
    </row>
    <row r="391" spans="1:5" hidden="1" x14ac:dyDescent="0.3">
      <c r="A391" s="2">
        <v>390</v>
      </c>
      <c r="B391" s="2" t="s">
        <v>340</v>
      </c>
      <c r="C391" s="2" t="s">
        <v>385</v>
      </c>
      <c r="D391" s="9" t="s">
        <v>387</v>
      </c>
      <c r="E391" s="3" t="s">
        <v>110</v>
      </c>
    </row>
    <row r="392" spans="1:5" hidden="1" x14ac:dyDescent="0.3">
      <c r="A392" s="2">
        <v>391</v>
      </c>
      <c r="B392" s="2" t="s">
        <v>347</v>
      </c>
      <c r="C392" s="2" t="s">
        <v>317</v>
      </c>
      <c r="D392" s="9" t="s">
        <v>387</v>
      </c>
      <c r="E392" s="3" t="s">
        <v>110</v>
      </c>
    </row>
    <row r="393" spans="1:5" hidden="1" x14ac:dyDescent="0.3">
      <c r="A393" s="2">
        <v>392</v>
      </c>
      <c r="B393" s="2" t="s">
        <v>386</v>
      </c>
      <c r="C393" s="2" t="s">
        <v>317</v>
      </c>
      <c r="D393" s="9" t="s">
        <v>387</v>
      </c>
      <c r="E393" s="3" t="s">
        <v>110</v>
      </c>
    </row>
    <row r="394" spans="1:5" hidden="1" x14ac:dyDescent="0.3">
      <c r="A394" s="2">
        <v>393</v>
      </c>
      <c r="B394" s="2" t="s">
        <v>306</v>
      </c>
      <c r="C394" s="2" t="s">
        <v>4</v>
      </c>
      <c r="D394" s="9" t="s">
        <v>387</v>
      </c>
      <c r="E394" s="3" t="s">
        <v>110</v>
      </c>
    </row>
    <row r="395" spans="1:5" hidden="1" x14ac:dyDescent="0.3">
      <c r="A395" s="2">
        <v>394</v>
      </c>
      <c r="B395" s="2" t="s">
        <v>326</v>
      </c>
      <c r="C395" s="2" t="s">
        <v>317</v>
      </c>
      <c r="D395" s="9" t="s">
        <v>387</v>
      </c>
      <c r="E395" s="3" t="s">
        <v>110</v>
      </c>
    </row>
    <row r="396" spans="1:5" hidden="1" x14ac:dyDescent="0.3">
      <c r="A396" s="2">
        <v>395</v>
      </c>
      <c r="B396" s="2" t="s">
        <v>324</v>
      </c>
      <c r="C396" s="2" t="s">
        <v>317</v>
      </c>
      <c r="D396" s="9" t="s">
        <v>387</v>
      </c>
      <c r="E396" s="3" t="s">
        <v>110</v>
      </c>
    </row>
    <row r="397" spans="1:5" hidden="1" x14ac:dyDescent="0.3">
      <c r="A397" s="2">
        <v>396</v>
      </c>
      <c r="B397" s="2" t="s">
        <v>325</v>
      </c>
      <c r="C397" s="2" t="s">
        <v>317</v>
      </c>
      <c r="D397" s="9" t="s">
        <v>387</v>
      </c>
      <c r="E397" s="3" t="s">
        <v>110</v>
      </c>
    </row>
    <row r="398" spans="1:5" hidden="1" x14ac:dyDescent="0.3">
      <c r="A398" s="2">
        <v>397</v>
      </c>
      <c r="B398" s="2" t="s">
        <v>311</v>
      </c>
      <c r="C398" s="2" t="s">
        <v>4</v>
      </c>
      <c r="D398" s="9" t="s">
        <v>387</v>
      </c>
      <c r="E398" s="3" t="s">
        <v>110</v>
      </c>
    </row>
    <row r="399" spans="1:5" hidden="1" x14ac:dyDescent="0.3">
      <c r="A399" s="2">
        <v>398</v>
      </c>
      <c r="B399" s="2" t="s">
        <v>323</v>
      </c>
      <c r="C399" s="2" t="s">
        <v>4</v>
      </c>
      <c r="D399" s="9" t="s">
        <v>387</v>
      </c>
      <c r="E399" s="3" t="s">
        <v>110</v>
      </c>
    </row>
    <row r="400" spans="1:5" hidden="1" x14ac:dyDescent="0.3">
      <c r="A400" s="2">
        <v>399</v>
      </c>
      <c r="B400" s="2" t="s">
        <v>310</v>
      </c>
      <c r="C400" s="2" t="s">
        <v>4</v>
      </c>
      <c r="D400" s="9" t="s">
        <v>387</v>
      </c>
      <c r="E400" s="3" t="s">
        <v>110</v>
      </c>
    </row>
    <row r="401" spans="1:5" hidden="1" x14ac:dyDescent="0.3">
      <c r="A401" s="2">
        <v>400</v>
      </c>
      <c r="B401" s="2" t="s">
        <v>308</v>
      </c>
      <c r="C401" s="2" t="s">
        <v>4</v>
      </c>
      <c r="D401" s="9" t="s">
        <v>387</v>
      </c>
      <c r="E401" s="3" t="s">
        <v>110</v>
      </c>
    </row>
    <row r="402" spans="1:5" hidden="1" x14ac:dyDescent="0.3">
      <c r="A402" s="2">
        <v>401</v>
      </c>
      <c r="B402" s="2" t="s">
        <v>388</v>
      </c>
      <c r="C402" s="2" t="s">
        <v>4</v>
      </c>
      <c r="D402" s="9" t="s">
        <v>433</v>
      </c>
      <c r="E402" s="3" t="s">
        <v>110</v>
      </c>
    </row>
    <row r="403" spans="1:5" hidden="1" x14ac:dyDescent="0.3">
      <c r="A403" s="2">
        <v>402</v>
      </c>
      <c r="B403" s="2" t="s">
        <v>389</v>
      </c>
      <c r="C403" s="2" t="s">
        <v>4</v>
      </c>
      <c r="D403" s="9" t="s">
        <v>433</v>
      </c>
      <c r="E403" s="3" t="s">
        <v>110</v>
      </c>
    </row>
    <row r="404" spans="1:5" hidden="1" x14ac:dyDescent="0.3">
      <c r="A404" s="2">
        <v>403</v>
      </c>
      <c r="B404" s="2" t="s">
        <v>390</v>
      </c>
      <c r="C404" s="2" t="s">
        <v>4</v>
      </c>
      <c r="D404" s="9" t="s">
        <v>433</v>
      </c>
      <c r="E404" s="3" t="s">
        <v>110</v>
      </c>
    </row>
    <row r="405" spans="1:5" hidden="1" x14ac:dyDescent="0.3">
      <c r="A405" s="2">
        <v>404</v>
      </c>
      <c r="B405" s="2" t="s">
        <v>391</v>
      </c>
      <c r="C405" s="2" t="s">
        <v>4</v>
      </c>
      <c r="D405" s="9" t="s">
        <v>433</v>
      </c>
      <c r="E405" s="3" t="s">
        <v>110</v>
      </c>
    </row>
    <row r="406" spans="1:5" hidden="1" x14ac:dyDescent="0.3">
      <c r="A406" s="2">
        <v>405</v>
      </c>
      <c r="B406" s="2" t="s">
        <v>392</v>
      </c>
      <c r="C406" s="2" t="s">
        <v>4</v>
      </c>
      <c r="D406" s="9" t="s">
        <v>433</v>
      </c>
      <c r="E406" s="3" t="s">
        <v>110</v>
      </c>
    </row>
    <row r="407" spans="1:5" hidden="1" x14ac:dyDescent="0.3">
      <c r="A407" s="2">
        <v>406</v>
      </c>
      <c r="B407" s="2" t="s">
        <v>393</v>
      </c>
      <c r="C407" s="2" t="s">
        <v>4</v>
      </c>
      <c r="D407" s="9" t="s">
        <v>433</v>
      </c>
      <c r="E407" s="3" t="s">
        <v>110</v>
      </c>
    </row>
    <row r="408" spans="1:5" hidden="1" x14ac:dyDescent="0.3">
      <c r="A408" s="2">
        <v>407</v>
      </c>
      <c r="B408" s="2" t="s">
        <v>394</v>
      </c>
      <c r="C408" s="2" t="s">
        <v>4</v>
      </c>
      <c r="D408" s="9" t="s">
        <v>433</v>
      </c>
      <c r="E408" s="3" t="s">
        <v>110</v>
      </c>
    </row>
    <row r="409" spans="1:5" hidden="1" x14ac:dyDescent="0.3">
      <c r="A409" s="2">
        <v>408</v>
      </c>
      <c r="B409" s="2" t="s">
        <v>395</v>
      </c>
      <c r="C409" s="2" t="s">
        <v>4</v>
      </c>
      <c r="D409" s="9" t="s">
        <v>433</v>
      </c>
      <c r="E409" s="3" t="s">
        <v>110</v>
      </c>
    </row>
    <row r="410" spans="1:5" hidden="1" x14ac:dyDescent="0.3">
      <c r="A410" s="2">
        <v>409</v>
      </c>
      <c r="B410" s="2" t="s">
        <v>396</v>
      </c>
      <c r="C410" s="2" t="s">
        <v>4</v>
      </c>
      <c r="D410" s="9" t="s">
        <v>433</v>
      </c>
      <c r="E410" s="3" t="s">
        <v>110</v>
      </c>
    </row>
    <row r="411" spans="1:5" hidden="1" x14ac:dyDescent="0.3">
      <c r="A411" s="2">
        <v>410</v>
      </c>
      <c r="B411" s="2" t="s">
        <v>397</v>
      </c>
      <c r="C411" s="2" t="s">
        <v>4</v>
      </c>
      <c r="D411" s="9" t="s">
        <v>433</v>
      </c>
      <c r="E411" s="3" t="s">
        <v>110</v>
      </c>
    </row>
    <row r="412" spans="1:5" hidden="1" x14ac:dyDescent="0.3">
      <c r="A412" s="2">
        <v>411</v>
      </c>
      <c r="B412" s="2" t="s">
        <v>398</v>
      </c>
      <c r="C412" s="2" t="s">
        <v>4</v>
      </c>
      <c r="D412" s="9" t="s">
        <v>433</v>
      </c>
      <c r="E412" s="3" t="s">
        <v>110</v>
      </c>
    </row>
    <row r="413" spans="1:5" hidden="1" x14ac:dyDescent="0.3">
      <c r="A413" s="2">
        <v>412</v>
      </c>
      <c r="B413" s="2" t="s">
        <v>399</v>
      </c>
      <c r="C413" s="2" t="s">
        <v>4</v>
      </c>
      <c r="D413" s="9" t="s">
        <v>433</v>
      </c>
      <c r="E413" s="3" t="s">
        <v>110</v>
      </c>
    </row>
    <row r="414" spans="1:5" hidden="1" x14ac:dyDescent="0.3">
      <c r="A414" s="2">
        <v>413</v>
      </c>
      <c r="B414" s="2" t="s">
        <v>400</v>
      </c>
      <c r="C414" s="2" t="s">
        <v>4</v>
      </c>
      <c r="D414" s="9" t="s">
        <v>433</v>
      </c>
      <c r="E414" s="3" t="s">
        <v>110</v>
      </c>
    </row>
    <row r="415" spans="1:5" hidden="1" x14ac:dyDescent="0.3">
      <c r="A415" s="2">
        <v>414</v>
      </c>
      <c r="B415" s="2" t="s">
        <v>401</v>
      </c>
      <c r="C415" s="2" t="s">
        <v>402</v>
      </c>
      <c r="D415" s="9" t="s">
        <v>433</v>
      </c>
      <c r="E415" s="3" t="s">
        <v>110</v>
      </c>
    </row>
    <row r="416" spans="1:5" hidden="1" x14ac:dyDescent="0.3">
      <c r="A416" s="2">
        <v>415</v>
      </c>
      <c r="B416" s="2" t="s">
        <v>403</v>
      </c>
      <c r="C416" s="2" t="s">
        <v>402</v>
      </c>
      <c r="D416" s="9" t="s">
        <v>433</v>
      </c>
      <c r="E416" s="3" t="s">
        <v>110</v>
      </c>
    </row>
    <row r="417" spans="1:5" hidden="1" x14ac:dyDescent="0.3">
      <c r="A417" s="2">
        <v>416</v>
      </c>
      <c r="B417" s="2" t="s">
        <v>404</v>
      </c>
      <c r="C417" s="2" t="s">
        <v>4</v>
      </c>
      <c r="D417" s="9" t="s">
        <v>433</v>
      </c>
      <c r="E417" s="3" t="s">
        <v>110</v>
      </c>
    </row>
    <row r="418" spans="1:5" hidden="1" x14ac:dyDescent="0.3">
      <c r="A418" s="2">
        <v>417</v>
      </c>
      <c r="B418" s="2" t="s">
        <v>405</v>
      </c>
      <c r="C418" s="2" t="s">
        <v>4</v>
      </c>
      <c r="D418" s="9" t="s">
        <v>433</v>
      </c>
      <c r="E418" s="3" t="s">
        <v>110</v>
      </c>
    </row>
    <row r="419" spans="1:5" hidden="1" x14ac:dyDescent="0.3">
      <c r="A419" s="2">
        <v>418</v>
      </c>
      <c r="B419" s="2" t="s">
        <v>406</v>
      </c>
      <c r="C419" s="2" t="s">
        <v>40</v>
      </c>
      <c r="D419" s="9" t="s">
        <v>433</v>
      </c>
      <c r="E419" s="3" t="s">
        <v>110</v>
      </c>
    </row>
    <row r="420" spans="1:5" hidden="1" x14ac:dyDescent="0.3">
      <c r="A420" s="2">
        <v>419</v>
      </c>
      <c r="B420" s="2" t="s">
        <v>407</v>
      </c>
      <c r="C420" s="2" t="s">
        <v>4</v>
      </c>
      <c r="D420" s="9" t="s">
        <v>433</v>
      </c>
      <c r="E420" s="3" t="s">
        <v>110</v>
      </c>
    </row>
    <row r="421" spans="1:5" hidden="1" x14ac:dyDescent="0.3">
      <c r="A421" s="2">
        <v>420</v>
      </c>
      <c r="B421" s="2" t="s">
        <v>408</v>
      </c>
      <c r="C421" s="2" t="s">
        <v>4</v>
      </c>
      <c r="D421" s="9" t="s">
        <v>433</v>
      </c>
      <c r="E421" s="3" t="s">
        <v>110</v>
      </c>
    </row>
    <row r="422" spans="1:5" hidden="1" x14ac:dyDescent="0.3">
      <c r="A422" s="2">
        <v>421</v>
      </c>
      <c r="B422" s="2" t="s">
        <v>409</v>
      </c>
      <c r="C422" s="2" t="s">
        <v>40</v>
      </c>
      <c r="D422" s="9" t="s">
        <v>433</v>
      </c>
      <c r="E422" s="3" t="s">
        <v>110</v>
      </c>
    </row>
    <row r="423" spans="1:5" hidden="1" x14ac:dyDescent="0.3">
      <c r="A423" s="2">
        <v>422</v>
      </c>
      <c r="B423" s="2" t="s">
        <v>410</v>
      </c>
      <c r="C423" s="2" t="s">
        <v>40</v>
      </c>
      <c r="D423" s="9" t="s">
        <v>433</v>
      </c>
      <c r="E423" s="3" t="s">
        <v>110</v>
      </c>
    </row>
    <row r="424" spans="1:5" hidden="1" x14ac:dyDescent="0.3">
      <c r="A424" s="2">
        <v>423</v>
      </c>
      <c r="B424" s="2" t="s">
        <v>411</v>
      </c>
      <c r="C424" s="2" t="s">
        <v>40</v>
      </c>
      <c r="D424" s="9" t="s">
        <v>433</v>
      </c>
      <c r="E424" s="3" t="s">
        <v>110</v>
      </c>
    </row>
    <row r="425" spans="1:5" hidden="1" x14ac:dyDescent="0.3">
      <c r="A425" s="2">
        <v>424</v>
      </c>
      <c r="B425" s="2" t="s">
        <v>412</v>
      </c>
      <c r="C425" s="2" t="s">
        <v>40</v>
      </c>
      <c r="D425" s="9" t="s">
        <v>433</v>
      </c>
      <c r="E425" s="3" t="s">
        <v>110</v>
      </c>
    </row>
    <row r="426" spans="1:5" hidden="1" x14ac:dyDescent="0.3">
      <c r="A426" s="2">
        <v>425</v>
      </c>
      <c r="B426" s="2" t="s">
        <v>413</v>
      </c>
      <c r="C426" s="2" t="s">
        <v>40</v>
      </c>
      <c r="D426" s="9" t="s">
        <v>433</v>
      </c>
      <c r="E426" s="3" t="s">
        <v>110</v>
      </c>
    </row>
    <row r="427" spans="1:5" hidden="1" x14ac:dyDescent="0.3">
      <c r="A427" s="2">
        <v>426</v>
      </c>
      <c r="B427" s="2" t="s">
        <v>414</v>
      </c>
      <c r="C427" s="2" t="s">
        <v>40</v>
      </c>
      <c r="D427" s="9" t="s">
        <v>433</v>
      </c>
      <c r="E427" s="3" t="s">
        <v>110</v>
      </c>
    </row>
    <row r="428" spans="1:5" hidden="1" x14ac:dyDescent="0.3">
      <c r="A428" s="2">
        <v>427</v>
      </c>
      <c r="B428" s="2" t="s">
        <v>415</v>
      </c>
      <c r="C428" s="2" t="s">
        <v>40</v>
      </c>
      <c r="D428" s="9" t="s">
        <v>433</v>
      </c>
      <c r="E428" s="3" t="s">
        <v>110</v>
      </c>
    </row>
    <row r="429" spans="1:5" hidden="1" x14ac:dyDescent="0.3">
      <c r="A429" s="2">
        <v>428</v>
      </c>
      <c r="B429" s="2" t="s">
        <v>416</v>
      </c>
      <c r="C429" s="2" t="s">
        <v>40</v>
      </c>
      <c r="D429" s="9" t="s">
        <v>433</v>
      </c>
      <c r="E429" s="3" t="s">
        <v>110</v>
      </c>
    </row>
    <row r="430" spans="1:5" hidden="1" x14ac:dyDescent="0.3">
      <c r="A430" s="2">
        <v>429</v>
      </c>
      <c r="B430" s="2" t="s">
        <v>417</v>
      </c>
      <c r="C430" s="2" t="s">
        <v>73</v>
      </c>
      <c r="D430" s="9" t="s">
        <v>433</v>
      </c>
      <c r="E430" s="3" t="s">
        <v>110</v>
      </c>
    </row>
    <row r="431" spans="1:5" hidden="1" x14ac:dyDescent="0.3">
      <c r="A431" s="2">
        <v>430</v>
      </c>
      <c r="B431" s="2" t="s">
        <v>418</v>
      </c>
      <c r="C431" s="2" t="s">
        <v>73</v>
      </c>
      <c r="D431" s="9" t="s">
        <v>433</v>
      </c>
      <c r="E431" s="3" t="s">
        <v>110</v>
      </c>
    </row>
    <row r="432" spans="1:5" hidden="1" x14ac:dyDescent="0.3">
      <c r="A432" s="2">
        <v>431</v>
      </c>
      <c r="B432" s="2" t="s">
        <v>419</v>
      </c>
      <c r="C432" s="2" t="s">
        <v>73</v>
      </c>
      <c r="D432" s="9" t="s">
        <v>433</v>
      </c>
      <c r="E432" s="3" t="s">
        <v>110</v>
      </c>
    </row>
    <row r="433" spans="1:5" hidden="1" x14ac:dyDescent="0.3">
      <c r="A433" s="2">
        <v>432</v>
      </c>
      <c r="B433" s="2" t="s">
        <v>420</v>
      </c>
      <c r="C433" s="2" t="s">
        <v>73</v>
      </c>
      <c r="D433" s="9" t="s">
        <v>433</v>
      </c>
      <c r="E433" s="3" t="s">
        <v>110</v>
      </c>
    </row>
    <row r="434" spans="1:5" hidden="1" x14ac:dyDescent="0.3">
      <c r="A434" s="2">
        <v>433</v>
      </c>
      <c r="B434" s="2" t="s">
        <v>421</v>
      </c>
      <c r="C434" s="2" t="s">
        <v>73</v>
      </c>
      <c r="D434" s="9" t="s">
        <v>433</v>
      </c>
      <c r="E434" s="3" t="s">
        <v>110</v>
      </c>
    </row>
    <row r="435" spans="1:5" hidden="1" x14ac:dyDescent="0.3">
      <c r="A435" s="2">
        <v>434</v>
      </c>
      <c r="B435" s="2" t="s">
        <v>422</v>
      </c>
      <c r="C435" s="2" t="s">
        <v>73</v>
      </c>
      <c r="D435" s="9" t="s">
        <v>433</v>
      </c>
      <c r="E435" s="3" t="s">
        <v>110</v>
      </c>
    </row>
    <row r="436" spans="1:5" hidden="1" x14ac:dyDescent="0.3">
      <c r="A436" s="2">
        <v>435</v>
      </c>
      <c r="B436" s="2" t="s">
        <v>423</v>
      </c>
      <c r="C436" s="2" t="s">
        <v>73</v>
      </c>
      <c r="D436" s="9" t="s">
        <v>433</v>
      </c>
      <c r="E436" s="3" t="s">
        <v>110</v>
      </c>
    </row>
    <row r="437" spans="1:5" hidden="1" x14ac:dyDescent="0.3">
      <c r="A437" s="2">
        <v>436</v>
      </c>
      <c r="B437" s="2" t="s">
        <v>424</v>
      </c>
      <c r="C437" s="2" t="s">
        <v>73</v>
      </c>
      <c r="D437" s="9" t="s">
        <v>433</v>
      </c>
      <c r="E437" s="3" t="s">
        <v>110</v>
      </c>
    </row>
    <row r="438" spans="1:5" hidden="1" x14ac:dyDescent="0.3">
      <c r="A438" s="2">
        <v>437</v>
      </c>
      <c r="B438" s="2" t="s">
        <v>425</v>
      </c>
      <c r="C438" s="2" t="s">
        <v>40</v>
      </c>
      <c r="D438" s="9" t="s">
        <v>433</v>
      </c>
      <c r="E438" s="3" t="s">
        <v>110</v>
      </c>
    </row>
    <row r="439" spans="1:5" hidden="1" x14ac:dyDescent="0.3">
      <c r="A439" s="2">
        <v>438</v>
      </c>
      <c r="B439" s="2" t="s">
        <v>392</v>
      </c>
      <c r="C439" s="2" t="s">
        <v>4</v>
      </c>
      <c r="D439" s="9" t="s">
        <v>433</v>
      </c>
      <c r="E439" s="3" t="s">
        <v>110</v>
      </c>
    </row>
    <row r="440" spans="1:5" hidden="1" x14ac:dyDescent="0.3">
      <c r="A440" s="2">
        <v>439</v>
      </c>
      <c r="B440" s="2" t="s">
        <v>394</v>
      </c>
      <c r="C440" s="2" t="s">
        <v>4</v>
      </c>
      <c r="D440" s="9" t="s">
        <v>433</v>
      </c>
      <c r="E440" s="3" t="s">
        <v>110</v>
      </c>
    </row>
    <row r="441" spans="1:5" hidden="1" x14ac:dyDescent="0.3">
      <c r="A441" s="2">
        <v>440</v>
      </c>
      <c r="B441" s="2" t="s">
        <v>426</v>
      </c>
      <c r="C441" s="2" t="s">
        <v>40</v>
      </c>
      <c r="D441" s="9" t="s">
        <v>433</v>
      </c>
      <c r="E441" s="3" t="s">
        <v>110</v>
      </c>
    </row>
    <row r="442" spans="1:5" hidden="1" x14ac:dyDescent="0.3">
      <c r="A442" s="2">
        <v>441</v>
      </c>
      <c r="B442" s="2" t="s">
        <v>427</v>
      </c>
      <c r="C442" s="2" t="s">
        <v>73</v>
      </c>
      <c r="D442" s="9" t="s">
        <v>433</v>
      </c>
      <c r="E442" s="3" t="s">
        <v>110</v>
      </c>
    </row>
    <row r="443" spans="1:5" hidden="1" x14ac:dyDescent="0.3">
      <c r="A443" s="2">
        <v>442</v>
      </c>
      <c r="B443" s="2" t="s">
        <v>428</v>
      </c>
      <c r="C443" s="2" t="s">
        <v>40</v>
      </c>
      <c r="D443" s="9" t="s">
        <v>433</v>
      </c>
      <c r="E443" s="3" t="s">
        <v>110</v>
      </c>
    </row>
    <row r="444" spans="1:5" hidden="1" x14ac:dyDescent="0.3">
      <c r="A444" s="2">
        <v>443</v>
      </c>
      <c r="B444" s="2" t="s">
        <v>429</v>
      </c>
      <c r="C444" s="2" t="s">
        <v>73</v>
      </c>
      <c r="D444" s="9" t="s">
        <v>433</v>
      </c>
      <c r="E444" s="3" t="s">
        <v>110</v>
      </c>
    </row>
    <row r="445" spans="1:5" hidden="1" x14ac:dyDescent="0.3">
      <c r="A445" s="2">
        <v>444</v>
      </c>
      <c r="B445" s="2" t="s">
        <v>430</v>
      </c>
      <c r="C445" s="2" t="s">
        <v>40</v>
      </c>
      <c r="D445" s="9" t="s">
        <v>433</v>
      </c>
      <c r="E445" s="3" t="s">
        <v>110</v>
      </c>
    </row>
    <row r="446" spans="1:5" hidden="1" x14ac:dyDescent="0.3">
      <c r="A446" s="2">
        <v>445</v>
      </c>
      <c r="B446" s="2" t="s">
        <v>431</v>
      </c>
      <c r="C446" s="2" t="s">
        <v>40</v>
      </c>
      <c r="D446" s="9" t="s">
        <v>433</v>
      </c>
      <c r="E446" s="3" t="s">
        <v>110</v>
      </c>
    </row>
    <row r="447" spans="1:5" hidden="1" x14ac:dyDescent="0.3">
      <c r="A447" s="2">
        <v>446</v>
      </c>
      <c r="B447" s="2" t="s">
        <v>432</v>
      </c>
      <c r="C447" s="2" t="s">
        <v>40</v>
      </c>
      <c r="D447" s="9" t="s">
        <v>433</v>
      </c>
      <c r="E447" s="3" t="s">
        <v>110</v>
      </c>
    </row>
    <row r="448" spans="1:5" hidden="1" x14ac:dyDescent="0.3">
      <c r="A448" s="2">
        <v>447</v>
      </c>
      <c r="B448" s="2" t="s">
        <v>389</v>
      </c>
      <c r="C448" s="2" t="s">
        <v>4</v>
      </c>
      <c r="D448" s="9" t="s">
        <v>433</v>
      </c>
      <c r="E448" s="3" t="s">
        <v>110</v>
      </c>
    </row>
    <row r="449" spans="1:5" hidden="1" x14ac:dyDescent="0.3">
      <c r="A449" s="2">
        <v>448</v>
      </c>
      <c r="B449" s="2" t="s">
        <v>393</v>
      </c>
      <c r="C449" s="2" t="s">
        <v>4</v>
      </c>
      <c r="D449" s="9" t="s">
        <v>433</v>
      </c>
      <c r="E449" s="3" t="s">
        <v>110</v>
      </c>
    </row>
    <row r="450" spans="1:5" hidden="1" x14ac:dyDescent="0.3">
      <c r="A450" s="2">
        <v>449</v>
      </c>
      <c r="B450" s="2" t="s">
        <v>391</v>
      </c>
      <c r="C450" s="2" t="s">
        <v>4</v>
      </c>
      <c r="D450" s="9" t="s">
        <v>433</v>
      </c>
      <c r="E450" s="3" t="s">
        <v>110</v>
      </c>
    </row>
    <row r="451" spans="1:5" hidden="1" x14ac:dyDescent="0.3">
      <c r="A451" s="2">
        <v>450</v>
      </c>
      <c r="B451" s="2" t="s">
        <v>390</v>
      </c>
      <c r="C451" s="2" t="s">
        <v>4</v>
      </c>
      <c r="D451" s="9" t="s">
        <v>433</v>
      </c>
      <c r="E451" s="3" t="s">
        <v>110</v>
      </c>
    </row>
    <row r="452" spans="1:5" hidden="1" x14ac:dyDescent="0.3">
      <c r="A452" s="2">
        <v>451</v>
      </c>
      <c r="B452" s="2" t="s">
        <v>434</v>
      </c>
      <c r="C452" s="2" t="s">
        <v>4</v>
      </c>
      <c r="D452" s="9" t="s">
        <v>484</v>
      </c>
      <c r="E452" s="3" t="s">
        <v>110</v>
      </c>
    </row>
    <row r="453" spans="1:5" hidden="1" x14ac:dyDescent="0.3">
      <c r="A453" s="2">
        <v>452</v>
      </c>
      <c r="B453" s="2" t="s">
        <v>435</v>
      </c>
      <c r="C453" s="2" t="s">
        <v>4</v>
      </c>
      <c r="D453" s="9" t="s">
        <v>484</v>
      </c>
      <c r="E453" s="3" t="s">
        <v>110</v>
      </c>
    </row>
    <row r="454" spans="1:5" hidden="1" x14ac:dyDescent="0.3">
      <c r="A454" s="2">
        <v>453</v>
      </c>
      <c r="B454" s="2" t="s">
        <v>436</v>
      </c>
      <c r="C454" s="2" t="s">
        <v>4</v>
      </c>
      <c r="D454" s="9" t="s">
        <v>484</v>
      </c>
      <c r="E454" s="3" t="s">
        <v>110</v>
      </c>
    </row>
    <row r="455" spans="1:5" hidden="1" x14ac:dyDescent="0.3">
      <c r="A455" s="2">
        <v>454</v>
      </c>
      <c r="B455" s="2" t="s">
        <v>437</v>
      </c>
      <c r="C455" s="2" t="s">
        <v>4</v>
      </c>
      <c r="D455" s="9" t="s">
        <v>484</v>
      </c>
      <c r="E455" s="3" t="s">
        <v>110</v>
      </c>
    </row>
    <row r="456" spans="1:5" hidden="1" x14ac:dyDescent="0.3">
      <c r="A456" s="2">
        <v>455</v>
      </c>
      <c r="B456" s="2" t="s">
        <v>438</v>
      </c>
      <c r="C456" s="2" t="s">
        <v>4</v>
      </c>
      <c r="D456" s="9" t="s">
        <v>484</v>
      </c>
      <c r="E456" s="3" t="s">
        <v>110</v>
      </c>
    </row>
    <row r="457" spans="1:5" hidden="1" x14ac:dyDescent="0.3">
      <c r="A457" s="2">
        <v>456</v>
      </c>
      <c r="B457" s="2" t="s">
        <v>439</v>
      </c>
      <c r="C457" s="2" t="s">
        <v>4</v>
      </c>
      <c r="D457" s="9" t="s">
        <v>484</v>
      </c>
      <c r="E457" s="3" t="s">
        <v>110</v>
      </c>
    </row>
    <row r="458" spans="1:5" hidden="1" x14ac:dyDescent="0.3">
      <c r="A458" s="2">
        <v>457</v>
      </c>
      <c r="B458" s="2" t="s">
        <v>440</v>
      </c>
      <c r="C458" s="2" t="s">
        <v>4</v>
      </c>
      <c r="D458" s="9" t="s">
        <v>484</v>
      </c>
      <c r="E458" s="3" t="s">
        <v>110</v>
      </c>
    </row>
    <row r="459" spans="1:5" hidden="1" x14ac:dyDescent="0.3">
      <c r="A459" s="2">
        <v>458</v>
      </c>
      <c r="B459" s="2" t="s">
        <v>441</v>
      </c>
      <c r="C459" s="2" t="s">
        <v>4</v>
      </c>
      <c r="D459" s="9" t="s">
        <v>484</v>
      </c>
      <c r="E459" s="3" t="s">
        <v>110</v>
      </c>
    </row>
    <row r="460" spans="1:5" hidden="1" x14ac:dyDescent="0.3">
      <c r="A460" s="2">
        <v>459</v>
      </c>
      <c r="B460" s="2" t="s">
        <v>442</v>
      </c>
      <c r="C460" s="2" t="s">
        <v>4</v>
      </c>
      <c r="D460" s="9" t="s">
        <v>484</v>
      </c>
      <c r="E460" s="3" t="s">
        <v>110</v>
      </c>
    </row>
    <row r="461" spans="1:5" hidden="1" x14ac:dyDescent="0.3">
      <c r="A461" s="2">
        <v>460</v>
      </c>
      <c r="B461" s="2" t="s">
        <v>443</v>
      </c>
      <c r="C461" s="2" t="s">
        <v>4</v>
      </c>
      <c r="D461" s="9" t="s">
        <v>484</v>
      </c>
      <c r="E461" s="3" t="s">
        <v>110</v>
      </c>
    </row>
    <row r="462" spans="1:5" hidden="1" x14ac:dyDescent="0.3">
      <c r="A462" s="2">
        <v>461</v>
      </c>
      <c r="B462" s="2" t="s">
        <v>444</v>
      </c>
      <c r="C462" s="2" t="s">
        <v>4</v>
      </c>
      <c r="D462" s="9" t="s">
        <v>484</v>
      </c>
      <c r="E462" s="3" t="s">
        <v>110</v>
      </c>
    </row>
    <row r="463" spans="1:5" hidden="1" x14ac:dyDescent="0.3">
      <c r="A463" s="2">
        <v>462</v>
      </c>
      <c r="B463" s="2" t="s">
        <v>445</v>
      </c>
      <c r="C463" s="2" t="s">
        <v>4</v>
      </c>
      <c r="D463" s="9" t="s">
        <v>484</v>
      </c>
      <c r="E463" s="3" t="s">
        <v>110</v>
      </c>
    </row>
    <row r="464" spans="1:5" hidden="1" x14ac:dyDescent="0.3">
      <c r="A464" s="2">
        <v>463</v>
      </c>
      <c r="B464" s="2" t="s">
        <v>446</v>
      </c>
      <c r="C464" s="2" t="s">
        <v>4</v>
      </c>
      <c r="D464" s="9" t="s">
        <v>484</v>
      </c>
      <c r="E464" s="3" t="s">
        <v>110</v>
      </c>
    </row>
    <row r="465" spans="1:5" hidden="1" x14ac:dyDescent="0.3">
      <c r="A465" s="2">
        <v>464</v>
      </c>
      <c r="B465" s="2" t="s">
        <v>468</v>
      </c>
      <c r="C465" s="2" t="s">
        <v>4</v>
      </c>
      <c r="D465" s="9" t="s">
        <v>484</v>
      </c>
      <c r="E465" s="3" t="s">
        <v>110</v>
      </c>
    </row>
    <row r="466" spans="1:5" hidden="1" x14ac:dyDescent="0.3">
      <c r="A466" s="2">
        <v>465</v>
      </c>
      <c r="B466" s="2" t="s">
        <v>469</v>
      </c>
      <c r="C466" s="2" t="s">
        <v>4</v>
      </c>
      <c r="D466" s="9" t="s">
        <v>484</v>
      </c>
      <c r="E466" s="3" t="s">
        <v>110</v>
      </c>
    </row>
    <row r="467" spans="1:5" hidden="1" x14ac:dyDescent="0.3">
      <c r="A467" s="2">
        <v>466</v>
      </c>
      <c r="B467" s="2" t="s">
        <v>470</v>
      </c>
      <c r="C467" s="2" t="s">
        <v>402</v>
      </c>
      <c r="D467" s="9" t="s">
        <v>484</v>
      </c>
      <c r="E467" s="3" t="s">
        <v>110</v>
      </c>
    </row>
    <row r="468" spans="1:5" hidden="1" x14ac:dyDescent="0.3">
      <c r="A468" s="2">
        <v>467</v>
      </c>
      <c r="B468" s="2" t="s">
        <v>447</v>
      </c>
      <c r="C468" s="2" t="s">
        <v>402</v>
      </c>
      <c r="D468" s="9" t="s">
        <v>484</v>
      </c>
      <c r="E468" s="3" t="s">
        <v>110</v>
      </c>
    </row>
    <row r="469" spans="1:5" hidden="1" x14ac:dyDescent="0.3">
      <c r="A469" s="2">
        <v>468</v>
      </c>
      <c r="B469" s="2" t="s">
        <v>448</v>
      </c>
      <c r="C469" s="2" t="s">
        <v>402</v>
      </c>
      <c r="D469" s="9" t="s">
        <v>484</v>
      </c>
      <c r="E469" s="3" t="s">
        <v>110</v>
      </c>
    </row>
    <row r="470" spans="1:5" hidden="1" x14ac:dyDescent="0.3">
      <c r="A470" s="2">
        <v>469</v>
      </c>
      <c r="B470" s="2" t="s">
        <v>449</v>
      </c>
      <c r="C470" s="2" t="s">
        <v>4</v>
      </c>
      <c r="D470" s="9" t="s">
        <v>484</v>
      </c>
      <c r="E470" s="3" t="s">
        <v>110</v>
      </c>
    </row>
    <row r="471" spans="1:5" hidden="1" x14ac:dyDescent="0.3">
      <c r="A471" s="2">
        <v>470</v>
      </c>
      <c r="B471" s="2" t="s">
        <v>450</v>
      </c>
      <c r="C471" s="2" t="s">
        <v>40</v>
      </c>
      <c r="D471" s="9" t="s">
        <v>484</v>
      </c>
      <c r="E471" s="3" t="s">
        <v>110</v>
      </c>
    </row>
    <row r="472" spans="1:5" hidden="1" x14ac:dyDescent="0.3">
      <c r="A472" s="2">
        <v>471</v>
      </c>
      <c r="B472" s="2" t="s">
        <v>451</v>
      </c>
      <c r="C472" s="2" t="s">
        <v>40</v>
      </c>
      <c r="D472" s="9" t="s">
        <v>484</v>
      </c>
      <c r="E472" s="3" t="s">
        <v>110</v>
      </c>
    </row>
    <row r="473" spans="1:5" hidden="1" x14ac:dyDescent="0.3">
      <c r="A473" s="2">
        <v>472</v>
      </c>
      <c r="B473" s="2" t="s">
        <v>452</v>
      </c>
      <c r="C473" s="2" t="s">
        <v>40</v>
      </c>
      <c r="D473" s="9" t="s">
        <v>484</v>
      </c>
      <c r="E473" s="3" t="s">
        <v>110</v>
      </c>
    </row>
    <row r="474" spans="1:5" hidden="1" x14ac:dyDescent="0.3">
      <c r="A474" s="2">
        <v>473</v>
      </c>
      <c r="B474" s="2" t="s">
        <v>453</v>
      </c>
      <c r="C474" s="2" t="s">
        <v>73</v>
      </c>
      <c r="D474" s="9" t="s">
        <v>484</v>
      </c>
      <c r="E474" s="3" t="s">
        <v>110</v>
      </c>
    </row>
    <row r="475" spans="1:5" hidden="1" x14ac:dyDescent="0.3">
      <c r="A475" s="2">
        <v>474</v>
      </c>
      <c r="B475" s="2" t="s">
        <v>454</v>
      </c>
      <c r="C475" s="2" t="s">
        <v>73</v>
      </c>
      <c r="D475" s="9" t="s">
        <v>484</v>
      </c>
      <c r="E475" s="3" t="s">
        <v>110</v>
      </c>
    </row>
    <row r="476" spans="1:5" hidden="1" x14ac:dyDescent="0.3">
      <c r="A476" s="2">
        <v>475</v>
      </c>
      <c r="B476" s="2" t="s">
        <v>455</v>
      </c>
      <c r="C476" s="2" t="s">
        <v>73</v>
      </c>
      <c r="D476" s="9" t="s">
        <v>484</v>
      </c>
      <c r="E476" s="3" t="s">
        <v>110</v>
      </c>
    </row>
    <row r="477" spans="1:5" hidden="1" x14ac:dyDescent="0.3">
      <c r="A477" s="2">
        <v>476</v>
      </c>
      <c r="B477" s="2" t="s">
        <v>456</v>
      </c>
      <c r="C477" s="2" t="s">
        <v>402</v>
      </c>
      <c r="D477" s="9" t="s">
        <v>484</v>
      </c>
      <c r="E477" s="3" t="s">
        <v>110</v>
      </c>
    </row>
    <row r="478" spans="1:5" hidden="1" x14ac:dyDescent="0.3">
      <c r="A478" s="2">
        <v>477</v>
      </c>
      <c r="B478" s="2" t="s">
        <v>471</v>
      </c>
      <c r="C478" s="2" t="s">
        <v>402</v>
      </c>
      <c r="D478" s="9" t="s">
        <v>484</v>
      </c>
      <c r="E478" s="3" t="s">
        <v>110</v>
      </c>
    </row>
    <row r="479" spans="1:5" hidden="1" x14ac:dyDescent="0.3">
      <c r="A479" s="2">
        <v>478</v>
      </c>
      <c r="B479" s="2" t="s">
        <v>472</v>
      </c>
      <c r="C479" s="2" t="s">
        <v>402</v>
      </c>
      <c r="D479" s="9" t="s">
        <v>484</v>
      </c>
      <c r="E479" s="3" t="s">
        <v>110</v>
      </c>
    </row>
    <row r="480" spans="1:5" hidden="1" x14ac:dyDescent="0.3">
      <c r="A480" s="2">
        <v>479</v>
      </c>
      <c r="B480" s="2" t="s">
        <v>473</v>
      </c>
      <c r="C480" s="2" t="s">
        <v>4</v>
      </c>
      <c r="D480" s="9" t="s">
        <v>484</v>
      </c>
      <c r="E480" s="3" t="s">
        <v>110</v>
      </c>
    </row>
    <row r="481" spans="1:5" hidden="1" x14ac:dyDescent="0.3">
      <c r="A481" s="2">
        <v>480</v>
      </c>
      <c r="B481" s="2" t="s">
        <v>457</v>
      </c>
      <c r="C481" s="2" t="s">
        <v>4</v>
      </c>
      <c r="D481" s="9" t="s">
        <v>484</v>
      </c>
      <c r="E481" s="3" t="s">
        <v>110</v>
      </c>
    </row>
    <row r="482" spans="1:5" hidden="1" x14ac:dyDescent="0.3">
      <c r="A482" s="2">
        <v>481</v>
      </c>
      <c r="B482" s="2" t="s">
        <v>458</v>
      </c>
      <c r="C482" s="2" t="s">
        <v>402</v>
      </c>
      <c r="D482" s="9" t="s">
        <v>484</v>
      </c>
      <c r="E482" s="3" t="s">
        <v>110</v>
      </c>
    </row>
    <row r="483" spans="1:5" hidden="1" x14ac:dyDescent="0.3">
      <c r="A483" s="2">
        <v>482</v>
      </c>
      <c r="B483" s="2" t="s">
        <v>474</v>
      </c>
      <c r="C483" s="2" t="s">
        <v>402</v>
      </c>
      <c r="D483" s="9" t="s">
        <v>484</v>
      </c>
      <c r="E483" s="3" t="s">
        <v>110</v>
      </c>
    </row>
    <row r="484" spans="1:5" hidden="1" x14ac:dyDescent="0.3">
      <c r="A484" s="2">
        <v>483</v>
      </c>
      <c r="B484" s="2" t="s">
        <v>459</v>
      </c>
      <c r="C484" s="2" t="s">
        <v>402</v>
      </c>
      <c r="D484" s="9" t="s">
        <v>484</v>
      </c>
      <c r="E484" s="3" t="s">
        <v>110</v>
      </c>
    </row>
    <row r="485" spans="1:5" hidden="1" x14ac:dyDescent="0.3">
      <c r="A485" s="2">
        <v>484</v>
      </c>
      <c r="B485" s="2" t="s">
        <v>460</v>
      </c>
      <c r="C485" s="2" t="s">
        <v>40</v>
      </c>
      <c r="D485" s="9" t="s">
        <v>484</v>
      </c>
      <c r="E485" s="3" t="s">
        <v>110</v>
      </c>
    </row>
    <row r="486" spans="1:5" hidden="1" x14ac:dyDescent="0.3">
      <c r="A486" s="2">
        <v>485</v>
      </c>
      <c r="B486" s="2" t="s">
        <v>475</v>
      </c>
      <c r="C486" s="2" t="s">
        <v>73</v>
      </c>
      <c r="D486" s="9" t="s">
        <v>484</v>
      </c>
      <c r="E486" s="3" t="s">
        <v>110</v>
      </c>
    </row>
    <row r="487" spans="1:5" hidden="1" x14ac:dyDescent="0.3">
      <c r="A487" s="2">
        <v>486</v>
      </c>
      <c r="B487" s="2" t="s">
        <v>476</v>
      </c>
      <c r="C487" s="2" t="s">
        <v>4</v>
      </c>
      <c r="D487" s="9" t="s">
        <v>484</v>
      </c>
      <c r="E487" s="3" t="s">
        <v>110</v>
      </c>
    </row>
    <row r="488" spans="1:5" hidden="1" x14ac:dyDescent="0.3">
      <c r="A488" s="2">
        <v>487</v>
      </c>
      <c r="B488" s="2" t="s">
        <v>477</v>
      </c>
      <c r="C488" s="2" t="s">
        <v>402</v>
      </c>
      <c r="D488" s="9" t="s">
        <v>484</v>
      </c>
      <c r="E488" s="3" t="s">
        <v>110</v>
      </c>
    </row>
    <row r="489" spans="1:5" hidden="1" x14ac:dyDescent="0.3">
      <c r="A489" s="2">
        <v>488</v>
      </c>
      <c r="B489" s="2" t="s">
        <v>461</v>
      </c>
      <c r="C489" s="2" t="s">
        <v>73</v>
      </c>
      <c r="D489" s="9" t="s">
        <v>484</v>
      </c>
      <c r="E489" s="3" t="s">
        <v>110</v>
      </c>
    </row>
    <row r="490" spans="1:5" hidden="1" x14ac:dyDescent="0.3">
      <c r="A490" s="2">
        <v>489</v>
      </c>
      <c r="B490" s="2" t="s">
        <v>462</v>
      </c>
      <c r="C490" s="2" t="s">
        <v>73</v>
      </c>
      <c r="D490" s="9" t="s">
        <v>484</v>
      </c>
      <c r="E490" s="3" t="s">
        <v>110</v>
      </c>
    </row>
    <row r="491" spans="1:5" hidden="1" x14ac:dyDescent="0.3">
      <c r="A491" s="2">
        <v>490</v>
      </c>
      <c r="B491" s="2" t="s">
        <v>463</v>
      </c>
      <c r="C491" s="2" t="s">
        <v>73</v>
      </c>
      <c r="D491" s="9" t="s">
        <v>484</v>
      </c>
      <c r="E491" s="3" t="s">
        <v>110</v>
      </c>
    </row>
    <row r="492" spans="1:5" hidden="1" x14ac:dyDescent="0.3">
      <c r="A492" s="2">
        <v>491</v>
      </c>
      <c r="B492" s="2" t="s">
        <v>464</v>
      </c>
      <c r="C492" s="2" t="s">
        <v>73</v>
      </c>
      <c r="D492" s="9" t="s">
        <v>484</v>
      </c>
      <c r="E492" s="3" t="s">
        <v>110</v>
      </c>
    </row>
    <row r="493" spans="1:5" hidden="1" x14ac:dyDescent="0.3">
      <c r="A493" s="2">
        <v>492</v>
      </c>
      <c r="B493" s="2" t="s">
        <v>465</v>
      </c>
      <c r="C493" s="2" t="s">
        <v>40</v>
      </c>
      <c r="D493" s="9" t="s">
        <v>484</v>
      </c>
      <c r="E493" s="3" t="s">
        <v>110</v>
      </c>
    </row>
    <row r="494" spans="1:5" hidden="1" x14ac:dyDescent="0.3">
      <c r="A494" s="2">
        <v>493</v>
      </c>
      <c r="B494" s="2" t="s">
        <v>466</v>
      </c>
      <c r="C494" s="2" t="s">
        <v>402</v>
      </c>
      <c r="D494" s="9" t="s">
        <v>484</v>
      </c>
      <c r="E494" s="3" t="s">
        <v>110</v>
      </c>
    </row>
    <row r="495" spans="1:5" hidden="1" x14ac:dyDescent="0.3">
      <c r="A495" s="2">
        <v>494</v>
      </c>
      <c r="B495" s="2" t="s">
        <v>467</v>
      </c>
      <c r="C495" s="2" t="s">
        <v>402</v>
      </c>
      <c r="D495" s="9" t="s">
        <v>484</v>
      </c>
      <c r="E495" s="3" t="s">
        <v>110</v>
      </c>
    </row>
    <row r="496" spans="1:5" hidden="1" x14ac:dyDescent="0.3">
      <c r="A496" s="2">
        <v>495</v>
      </c>
      <c r="B496" s="2" t="s">
        <v>478</v>
      </c>
      <c r="C496" s="2" t="s">
        <v>4</v>
      </c>
      <c r="D496" s="9" t="s">
        <v>484</v>
      </c>
      <c r="E496" s="3" t="s">
        <v>110</v>
      </c>
    </row>
    <row r="497" spans="1:5" hidden="1" x14ac:dyDescent="0.3">
      <c r="A497" s="2">
        <v>496</v>
      </c>
      <c r="B497" s="2" t="s">
        <v>479</v>
      </c>
      <c r="C497" s="2" t="s">
        <v>402</v>
      </c>
      <c r="D497" s="9" t="s">
        <v>484</v>
      </c>
      <c r="E497" s="3" t="s">
        <v>110</v>
      </c>
    </row>
    <row r="498" spans="1:5" hidden="1" x14ac:dyDescent="0.3">
      <c r="A498" s="2">
        <v>497</v>
      </c>
      <c r="B498" s="2" t="s">
        <v>480</v>
      </c>
      <c r="C498" s="2" t="s">
        <v>73</v>
      </c>
      <c r="D498" s="9" t="s">
        <v>484</v>
      </c>
      <c r="E498" s="3" t="s">
        <v>110</v>
      </c>
    </row>
    <row r="499" spans="1:5" hidden="1" x14ac:dyDescent="0.3">
      <c r="A499" s="2">
        <v>498</v>
      </c>
      <c r="B499" s="2" t="s">
        <v>481</v>
      </c>
      <c r="C499" s="2" t="s">
        <v>40</v>
      </c>
      <c r="D499" s="9" t="s">
        <v>484</v>
      </c>
      <c r="E499" s="3" t="s">
        <v>110</v>
      </c>
    </row>
    <row r="500" spans="1:5" hidden="1" x14ac:dyDescent="0.3">
      <c r="A500" s="2">
        <v>499</v>
      </c>
      <c r="B500" s="2" t="s">
        <v>482</v>
      </c>
      <c r="C500" s="2" t="s">
        <v>40</v>
      </c>
      <c r="D500" s="9" t="s">
        <v>484</v>
      </c>
      <c r="E500" s="3" t="s">
        <v>110</v>
      </c>
    </row>
    <row r="501" spans="1:5" ht="27" hidden="1" customHeight="1" x14ac:dyDescent="0.3">
      <c r="A501" s="2">
        <v>500</v>
      </c>
      <c r="B501" s="2" t="s">
        <v>483</v>
      </c>
      <c r="C501" s="2" t="s">
        <v>73</v>
      </c>
      <c r="D501" s="9" t="s">
        <v>484</v>
      </c>
      <c r="E501" s="3" t="s">
        <v>110</v>
      </c>
    </row>
    <row r="502" spans="1:5" hidden="1" x14ac:dyDescent="0.3">
      <c r="A502" s="2">
        <v>501</v>
      </c>
      <c r="B502" s="2" t="s">
        <v>485</v>
      </c>
      <c r="C502" s="2" t="s">
        <v>4</v>
      </c>
      <c r="D502" s="9" t="s">
        <v>534</v>
      </c>
      <c r="E502" s="3" t="s">
        <v>110</v>
      </c>
    </row>
    <row r="503" spans="1:5" hidden="1" x14ac:dyDescent="0.3">
      <c r="A503" s="2">
        <v>502</v>
      </c>
      <c r="B503" s="2" t="s">
        <v>486</v>
      </c>
      <c r="C503" s="2" t="s">
        <v>4</v>
      </c>
      <c r="D503" s="9" t="s">
        <v>534</v>
      </c>
      <c r="E503" s="3" t="s">
        <v>110</v>
      </c>
    </row>
    <row r="504" spans="1:5" hidden="1" x14ac:dyDescent="0.3">
      <c r="A504" s="2">
        <v>503</v>
      </c>
      <c r="B504" s="2" t="s">
        <v>487</v>
      </c>
      <c r="C504" s="2" t="s">
        <v>4</v>
      </c>
      <c r="D504" s="9" t="s">
        <v>534</v>
      </c>
      <c r="E504" s="3" t="s">
        <v>110</v>
      </c>
    </row>
    <row r="505" spans="1:5" hidden="1" x14ac:dyDescent="0.3">
      <c r="A505" s="2">
        <v>504</v>
      </c>
      <c r="B505" s="2" t="s">
        <v>488</v>
      </c>
      <c r="C505" s="2" t="s">
        <v>4</v>
      </c>
      <c r="D505" s="9" t="s">
        <v>534</v>
      </c>
      <c r="E505" s="3" t="s">
        <v>110</v>
      </c>
    </row>
    <row r="506" spans="1:5" hidden="1" x14ac:dyDescent="0.3">
      <c r="A506" s="2">
        <v>505</v>
      </c>
      <c r="B506" s="2" t="s">
        <v>489</v>
      </c>
      <c r="C506" s="2" t="s">
        <v>4</v>
      </c>
      <c r="D506" s="9" t="s">
        <v>534</v>
      </c>
      <c r="E506" s="3" t="s">
        <v>110</v>
      </c>
    </row>
    <row r="507" spans="1:5" hidden="1" x14ac:dyDescent="0.3">
      <c r="A507" s="2">
        <v>506</v>
      </c>
      <c r="B507" s="2" t="s">
        <v>490</v>
      </c>
      <c r="C507" s="2" t="s">
        <v>4</v>
      </c>
      <c r="D507" s="9" t="s">
        <v>534</v>
      </c>
      <c r="E507" s="3" t="s">
        <v>110</v>
      </c>
    </row>
    <row r="508" spans="1:5" hidden="1" x14ac:dyDescent="0.3">
      <c r="A508" s="2">
        <v>507</v>
      </c>
      <c r="B508" s="2" t="s">
        <v>491</v>
      </c>
      <c r="C508" s="2" t="s">
        <v>4</v>
      </c>
      <c r="D508" s="9" t="s">
        <v>534</v>
      </c>
      <c r="E508" s="3" t="s">
        <v>110</v>
      </c>
    </row>
    <row r="509" spans="1:5" hidden="1" x14ac:dyDescent="0.3">
      <c r="A509" s="2">
        <v>508</v>
      </c>
      <c r="B509" s="2" t="s">
        <v>492</v>
      </c>
      <c r="C509" s="2" t="s">
        <v>4</v>
      </c>
      <c r="D509" s="9" t="s">
        <v>534</v>
      </c>
      <c r="E509" s="3" t="s">
        <v>110</v>
      </c>
    </row>
    <row r="510" spans="1:5" hidden="1" x14ac:dyDescent="0.3">
      <c r="A510" s="2">
        <v>509</v>
      </c>
      <c r="B510" s="2" t="s">
        <v>493</v>
      </c>
      <c r="C510" s="2" t="s">
        <v>4</v>
      </c>
      <c r="D510" s="9" t="s">
        <v>534</v>
      </c>
      <c r="E510" s="3" t="s">
        <v>110</v>
      </c>
    </row>
    <row r="511" spans="1:5" hidden="1" x14ac:dyDescent="0.3">
      <c r="A511" s="2">
        <v>510</v>
      </c>
      <c r="B511" s="2" t="s">
        <v>494</v>
      </c>
      <c r="C511" s="2" t="s">
        <v>4</v>
      </c>
      <c r="D511" s="9" t="s">
        <v>534</v>
      </c>
      <c r="E511" s="3" t="s">
        <v>110</v>
      </c>
    </row>
    <row r="512" spans="1:5" hidden="1" x14ac:dyDescent="0.3">
      <c r="A512" s="2">
        <v>511</v>
      </c>
      <c r="B512" s="2" t="s">
        <v>495</v>
      </c>
      <c r="C512" s="2" t="s">
        <v>4</v>
      </c>
      <c r="D512" s="9" t="s">
        <v>534</v>
      </c>
      <c r="E512" s="3" t="s">
        <v>110</v>
      </c>
    </row>
    <row r="513" spans="1:5" hidden="1" x14ac:dyDescent="0.3">
      <c r="A513" s="2">
        <v>512</v>
      </c>
      <c r="B513" s="2" t="s">
        <v>496</v>
      </c>
      <c r="C513" s="2" t="s">
        <v>4</v>
      </c>
      <c r="D513" s="9" t="s">
        <v>534</v>
      </c>
      <c r="E513" s="3" t="s">
        <v>110</v>
      </c>
    </row>
    <row r="514" spans="1:5" ht="28.8" hidden="1" x14ac:dyDescent="0.3">
      <c r="A514" s="2">
        <v>513</v>
      </c>
      <c r="B514" s="2" t="s">
        <v>497</v>
      </c>
      <c r="C514" s="2" t="s">
        <v>4</v>
      </c>
      <c r="D514" s="9" t="s">
        <v>534</v>
      </c>
      <c r="E514" s="3" t="s">
        <v>110</v>
      </c>
    </row>
    <row r="515" spans="1:5" ht="28.8" hidden="1" x14ac:dyDescent="0.3">
      <c r="A515" s="2">
        <v>514</v>
      </c>
      <c r="B515" s="2" t="s">
        <v>498</v>
      </c>
      <c r="C515" s="2" t="s">
        <v>4</v>
      </c>
      <c r="D515" s="9" t="s">
        <v>534</v>
      </c>
      <c r="E515" s="3" t="s">
        <v>110</v>
      </c>
    </row>
    <row r="516" spans="1:5" hidden="1" x14ac:dyDescent="0.3">
      <c r="A516" s="2">
        <v>515</v>
      </c>
      <c r="B516" s="2" t="s">
        <v>499</v>
      </c>
      <c r="C516" s="2" t="s">
        <v>40</v>
      </c>
      <c r="D516" s="9" t="s">
        <v>534</v>
      </c>
      <c r="E516" s="3" t="s">
        <v>110</v>
      </c>
    </row>
    <row r="517" spans="1:5" hidden="1" x14ac:dyDescent="0.3">
      <c r="A517" s="2">
        <v>516</v>
      </c>
      <c r="B517" s="2" t="s">
        <v>500</v>
      </c>
      <c r="C517" s="2" t="s">
        <v>4</v>
      </c>
      <c r="D517" s="9" t="s">
        <v>534</v>
      </c>
      <c r="E517" s="3" t="s">
        <v>110</v>
      </c>
    </row>
    <row r="518" spans="1:5" hidden="1" x14ac:dyDescent="0.3">
      <c r="A518" s="2">
        <v>517</v>
      </c>
      <c r="B518" s="2" t="s">
        <v>501</v>
      </c>
      <c r="C518" s="2" t="s">
        <v>40</v>
      </c>
      <c r="D518" s="9" t="s">
        <v>534</v>
      </c>
      <c r="E518" s="3" t="s">
        <v>110</v>
      </c>
    </row>
    <row r="519" spans="1:5" hidden="1" x14ac:dyDescent="0.3">
      <c r="A519" s="2">
        <v>518</v>
      </c>
      <c r="B519" s="2" t="s">
        <v>502</v>
      </c>
      <c r="C519" s="2" t="s">
        <v>40</v>
      </c>
      <c r="D519" s="9" t="s">
        <v>534</v>
      </c>
      <c r="E519" s="3" t="s">
        <v>110</v>
      </c>
    </row>
    <row r="520" spans="1:5" hidden="1" x14ac:dyDescent="0.3">
      <c r="A520" s="2">
        <v>519</v>
      </c>
      <c r="B520" s="2" t="s">
        <v>503</v>
      </c>
      <c r="C520" s="2" t="s">
        <v>40</v>
      </c>
      <c r="D520" s="9" t="s">
        <v>534</v>
      </c>
      <c r="E520" s="3" t="s">
        <v>110</v>
      </c>
    </row>
    <row r="521" spans="1:5" hidden="1" x14ac:dyDescent="0.3">
      <c r="A521" s="2">
        <v>520</v>
      </c>
      <c r="B521" s="2" t="s">
        <v>504</v>
      </c>
      <c r="C521" s="2" t="s">
        <v>73</v>
      </c>
      <c r="D521" s="9" t="s">
        <v>534</v>
      </c>
      <c r="E521" s="3" t="s">
        <v>110</v>
      </c>
    </row>
    <row r="522" spans="1:5" hidden="1" x14ac:dyDescent="0.3">
      <c r="A522" s="2">
        <v>521</v>
      </c>
      <c r="B522" s="2" t="s">
        <v>505</v>
      </c>
      <c r="C522" s="2" t="s">
        <v>73</v>
      </c>
      <c r="D522" s="9" t="s">
        <v>534</v>
      </c>
      <c r="E522" s="3" t="s">
        <v>110</v>
      </c>
    </row>
    <row r="523" spans="1:5" hidden="1" x14ac:dyDescent="0.3">
      <c r="A523" s="2">
        <v>522</v>
      </c>
      <c r="B523" s="2" t="s">
        <v>506</v>
      </c>
      <c r="C523" s="2" t="s">
        <v>4</v>
      </c>
      <c r="D523" s="9" t="s">
        <v>534</v>
      </c>
      <c r="E523" s="3" t="s">
        <v>110</v>
      </c>
    </row>
    <row r="524" spans="1:5" hidden="1" x14ac:dyDescent="0.3">
      <c r="A524" s="2">
        <v>523</v>
      </c>
      <c r="B524" s="2" t="s">
        <v>507</v>
      </c>
      <c r="C524" s="2" t="s">
        <v>4</v>
      </c>
      <c r="D524" s="9" t="s">
        <v>534</v>
      </c>
      <c r="E524" s="3" t="s">
        <v>110</v>
      </c>
    </row>
    <row r="525" spans="1:5" hidden="1" x14ac:dyDescent="0.3">
      <c r="A525" s="2">
        <v>524</v>
      </c>
      <c r="B525" s="2" t="s">
        <v>508</v>
      </c>
      <c r="C525" s="2" t="s">
        <v>73</v>
      </c>
      <c r="D525" s="9" t="s">
        <v>534</v>
      </c>
      <c r="E525" s="3" t="s">
        <v>110</v>
      </c>
    </row>
    <row r="526" spans="1:5" hidden="1" x14ac:dyDescent="0.3">
      <c r="A526" s="2">
        <v>525</v>
      </c>
      <c r="B526" s="2" t="s">
        <v>509</v>
      </c>
      <c r="C526" s="2" t="s">
        <v>73</v>
      </c>
      <c r="D526" s="9" t="s">
        <v>534</v>
      </c>
      <c r="E526" s="3" t="s">
        <v>110</v>
      </c>
    </row>
    <row r="527" spans="1:5" hidden="1" x14ac:dyDescent="0.3">
      <c r="A527" s="2">
        <v>526</v>
      </c>
      <c r="B527" s="2" t="s">
        <v>510</v>
      </c>
      <c r="C527" s="2" t="s">
        <v>73</v>
      </c>
      <c r="D527" s="9" t="s">
        <v>534</v>
      </c>
      <c r="E527" s="3" t="s">
        <v>110</v>
      </c>
    </row>
    <row r="528" spans="1:5" hidden="1" x14ac:dyDescent="0.3">
      <c r="A528" s="2">
        <v>527</v>
      </c>
      <c r="B528" s="2" t="s">
        <v>511</v>
      </c>
      <c r="C528" s="2" t="s">
        <v>40</v>
      </c>
      <c r="D528" s="9" t="s">
        <v>534</v>
      </c>
      <c r="E528" s="3" t="s">
        <v>110</v>
      </c>
    </row>
    <row r="529" spans="1:5" hidden="1" x14ac:dyDescent="0.3">
      <c r="A529" s="2">
        <v>528</v>
      </c>
      <c r="B529" s="2" t="s">
        <v>512</v>
      </c>
      <c r="C529" s="2" t="s">
        <v>40</v>
      </c>
      <c r="D529" s="9" t="s">
        <v>534</v>
      </c>
      <c r="E529" s="3" t="s">
        <v>110</v>
      </c>
    </row>
    <row r="530" spans="1:5" hidden="1" x14ac:dyDescent="0.3">
      <c r="A530" s="2">
        <v>529</v>
      </c>
      <c r="B530" s="2" t="s">
        <v>513</v>
      </c>
      <c r="C530" s="2" t="s">
        <v>73</v>
      </c>
      <c r="D530" s="9" t="s">
        <v>534</v>
      </c>
      <c r="E530" s="3" t="s">
        <v>110</v>
      </c>
    </row>
    <row r="531" spans="1:5" hidden="1" x14ac:dyDescent="0.3">
      <c r="A531" s="2">
        <v>530</v>
      </c>
      <c r="B531" s="2" t="s">
        <v>514</v>
      </c>
      <c r="C531" s="2" t="s">
        <v>73</v>
      </c>
      <c r="D531" s="9" t="s">
        <v>534</v>
      </c>
      <c r="E531" s="3" t="s">
        <v>110</v>
      </c>
    </row>
    <row r="532" spans="1:5" hidden="1" x14ac:dyDescent="0.3">
      <c r="A532" s="2">
        <v>531</v>
      </c>
      <c r="B532" s="2" t="s">
        <v>515</v>
      </c>
      <c r="C532" s="2" t="s">
        <v>4</v>
      </c>
      <c r="D532" s="9" t="s">
        <v>534</v>
      </c>
      <c r="E532" s="3" t="s">
        <v>110</v>
      </c>
    </row>
    <row r="533" spans="1:5" hidden="1" x14ac:dyDescent="0.3">
      <c r="A533" s="2">
        <v>532</v>
      </c>
      <c r="B533" s="2" t="s">
        <v>516</v>
      </c>
      <c r="C533" s="2" t="s">
        <v>73</v>
      </c>
      <c r="D533" s="9" t="s">
        <v>534</v>
      </c>
      <c r="E533" s="3" t="s">
        <v>110</v>
      </c>
    </row>
    <row r="534" spans="1:5" ht="28.8" hidden="1" x14ac:dyDescent="0.3">
      <c r="A534" s="2">
        <v>533</v>
      </c>
      <c r="B534" s="2" t="s">
        <v>517</v>
      </c>
      <c r="C534" s="2" t="s">
        <v>73</v>
      </c>
      <c r="D534" s="9" t="s">
        <v>534</v>
      </c>
      <c r="E534" s="3" t="s">
        <v>110</v>
      </c>
    </row>
    <row r="535" spans="1:5" hidden="1" x14ac:dyDescent="0.3">
      <c r="A535" s="2">
        <v>534</v>
      </c>
      <c r="B535" s="2" t="s">
        <v>518</v>
      </c>
      <c r="C535" s="2" t="s">
        <v>73</v>
      </c>
      <c r="D535" s="9" t="s">
        <v>534</v>
      </c>
      <c r="E535" s="3" t="s">
        <v>110</v>
      </c>
    </row>
    <row r="536" spans="1:5" hidden="1" x14ac:dyDescent="0.3">
      <c r="A536" s="2">
        <v>535</v>
      </c>
      <c r="B536" s="2" t="s">
        <v>519</v>
      </c>
      <c r="C536" s="2" t="s">
        <v>40</v>
      </c>
      <c r="D536" s="9" t="s">
        <v>534</v>
      </c>
      <c r="E536" s="3" t="s">
        <v>110</v>
      </c>
    </row>
    <row r="537" spans="1:5" hidden="1" x14ac:dyDescent="0.3">
      <c r="A537" s="2">
        <v>536</v>
      </c>
      <c r="B537" s="2" t="s">
        <v>520</v>
      </c>
      <c r="C537" s="2" t="s">
        <v>40</v>
      </c>
      <c r="D537" s="9" t="s">
        <v>534</v>
      </c>
      <c r="E537" s="3" t="s">
        <v>110</v>
      </c>
    </row>
    <row r="538" spans="1:5" hidden="1" x14ac:dyDescent="0.3">
      <c r="A538" s="2">
        <v>537</v>
      </c>
      <c r="B538" s="2" t="s">
        <v>521</v>
      </c>
      <c r="C538" s="2" t="s">
        <v>73</v>
      </c>
      <c r="D538" s="9" t="s">
        <v>534</v>
      </c>
      <c r="E538" s="3" t="s">
        <v>110</v>
      </c>
    </row>
    <row r="539" spans="1:5" hidden="1" x14ac:dyDescent="0.3">
      <c r="A539" s="2">
        <v>538</v>
      </c>
      <c r="B539" s="2" t="s">
        <v>486</v>
      </c>
      <c r="C539" s="2" t="s">
        <v>4</v>
      </c>
      <c r="D539" s="9" t="s">
        <v>534</v>
      </c>
      <c r="E539" s="3" t="s">
        <v>110</v>
      </c>
    </row>
    <row r="540" spans="1:5" hidden="1" x14ac:dyDescent="0.3">
      <c r="A540" s="2">
        <v>539</v>
      </c>
      <c r="B540" s="2" t="s">
        <v>522</v>
      </c>
      <c r="C540" s="2" t="s">
        <v>4</v>
      </c>
      <c r="D540" s="9" t="s">
        <v>534</v>
      </c>
      <c r="E540" s="3" t="s">
        <v>110</v>
      </c>
    </row>
    <row r="541" spans="1:5" hidden="1" x14ac:dyDescent="0.3">
      <c r="A541" s="2">
        <v>540</v>
      </c>
      <c r="B541" s="2" t="s">
        <v>523</v>
      </c>
      <c r="C541" s="2" t="s">
        <v>73</v>
      </c>
      <c r="D541" s="9" t="s">
        <v>534</v>
      </c>
      <c r="E541" s="3" t="s">
        <v>110</v>
      </c>
    </row>
    <row r="542" spans="1:5" hidden="1" x14ac:dyDescent="0.3">
      <c r="A542" s="2">
        <v>541</v>
      </c>
      <c r="B542" s="2" t="s">
        <v>524</v>
      </c>
      <c r="C542" s="2" t="s">
        <v>40</v>
      </c>
      <c r="D542" s="9" t="s">
        <v>534</v>
      </c>
      <c r="E542" s="3" t="s">
        <v>110</v>
      </c>
    </row>
    <row r="543" spans="1:5" hidden="1" x14ac:dyDescent="0.3">
      <c r="A543" s="2">
        <v>542</v>
      </c>
      <c r="B543" s="2" t="s">
        <v>525</v>
      </c>
      <c r="C543" s="2" t="s">
        <v>40</v>
      </c>
      <c r="D543" s="9" t="s">
        <v>534</v>
      </c>
      <c r="E543" s="3" t="s">
        <v>110</v>
      </c>
    </row>
    <row r="544" spans="1:5" hidden="1" x14ac:dyDescent="0.3">
      <c r="A544" s="2">
        <v>543</v>
      </c>
      <c r="B544" s="2" t="s">
        <v>526</v>
      </c>
      <c r="C544" s="2" t="s">
        <v>40</v>
      </c>
      <c r="D544" s="9" t="s">
        <v>534</v>
      </c>
      <c r="E544" s="3" t="s">
        <v>110</v>
      </c>
    </row>
    <row r="545" spans="1:5" ht="28.8" hidden="1" x14ac:dyDescent="0.3">
      <c r="A545" s="2">
        <v>544</v>
      </c>
      <c r="B545" s="2" t="s">
        <v>527</v>
      </c>
      <c r="C545" s="2" t="s">
        <v>73</v>
      </c>
      <c r="D545" s="9" t="s">
        <v>534</v>
      </c>
      <c r="E545" s="3" t="s">
        <v>110</v>
      </c>
    </row>
    <row r="546" spans="1:5" hidden="1" x14ac:dyDescent="0.3">
      <c r="A546" s="2">
        <v>545</v>
      </c>
      <c r="B546" s="2" t="s">
        <v>528</v>
      </c>
      <c r="C546" s="2" t="s">
        <v>40</v>
      </c>
      <c r="D546" s="9" t="s">
        <v>534</v>
      </c>
      <c r="E546" s="3" t="s">
        <v>110</v>
      </c>
    </row>
    <row r="547" spans="1:5" hidden="1" x14ac:dyDescent="0.3">
      <c r="A547" s="2">
        <v>546</v>
      </c>
      <c r="B547" s="2" t="s">
        <v>529</v>
      </c>
      <c r="C547" s="2" t="s">
        <v>40</v>
      </c>
      <c r="D547" s="9" t="s">
        <v>534</v>
      </c>
      <c r="E547" s="3" t="s">
        <v>110</v>
      </c>
    </row>
    <row r="548" spans="1:5" hidden="1" x14ac:dyDescent="0.3">
      <c r="A548" s="2">
        <v>547</v>
      </c>
      <c r="B548" s="2" t="s">
        <v>530</v>
      </c>
      <c r="C548" s="2" t="s">
        <v>40</v>
      </c>
      <c r="D548" s="9" t="s">
        <v>534</v>
      </c>
      <c r="E548" s="3" t="s">
        <v>110</v>
      </c>
    </row>
    <row r="549" spans="1:5" hidden="1" x14ac:dyDescent="0.3">
      <c r="A549" s="2">
        <v>548</v>
      </c>
      <c r="B549" s="2" t="s">
        <v>531</v>
      </c>
      <c r="C549" s="2" t="s">
        <v>40</v>
      </c>
      <c r="D549" s="9" t="s">
        <v>534</v>
      </c>
      <c r="E549" s="3" t="s">
        <v>110</v>
      </c>
    </row>
    <row r="550" spans="1:5" ht="28.8" hidden="1" x14ac:dyDescent="0.3">
      <c r="A550" s="2">
        <v>549</v>
      </c>
      <c r="B550" s="2" t="s">
        <v>532</v>
      </c>
      <c r="C550" s="2" t="s">
        <v>40</v>
      </c>
      <c r="D550" s="9" t="s">
        <v>534</v>
      </c>
      <c r="E550" s="3" t="s">
        <v>110</v>
      </c>
    </row>
    <row r="551" spans="1:5" hidden="1" x14ac:dyDescent="0.3">
      <c r="A551" s="2">
        <v>550</v>
      </c>
      <c r="B551" s="2" t="s">
        <v>533</v>
      </c>
      <c r="C551" s="2" t="s">
        <v>73</v>
      </c>
      <c r="D551" s="9" t="s">
        <v>534</v>
      </c>
      <c r="E551" s="3" t="s">
        <v>110</v>
      </c>
    </row>
    <row r="552" spans="1:5" hidden="1" x14ac:dyDescent="0.3">
      <c r="A552" s="2">
        <v>551</v>
      </c>
      <c r="B552" s="2" t="s">
        <v>535</v>
      </c>
      <c r="C552" s="2" t="s">
        <v>4</v>
      </c>
      <c r="D552" s="9" t="s">
        <v>546</v>
      </c>
      <c r="E552" s="3" t="s">
        <v>110</v>
      </c>
    </row>
    <row r="553" spans="1:5" hidden="1" x14ac:dyDescent="0.3">
      <c r="A553" s="2">
        <v>552</v>
      </c>
      <c r="B553" s="2" t="s">
        <v>536</v>
      </c>
      <c r="C553" s="2" t="s">
        <v>4</v>
      </c>
      <c r="D553" s="9" t="s">
        <v>546</v>
      </c>
      <c r="E553" s="3" t="s">
        <v>110</v>
      </c>
    </row>
    <row r="554" spans="1:5" hidden="1" x14ac:dyDescent="0.3">
      <c r="A554" s="2">
        <v>553</v>
      </c>
      <c r="B554" s="2" t="s">
        <v>537</v>
      </c>
      <c r="C554" s="2" t="s">
        <v>4</v>
      </c>
      <c r="D554" s="9" t="s">
        <v>546</v>
      </c>
      <c r="E554" s="3" t="s">
        <v>110</v>
      </c>
    </row>
    <row r="555" spans="1:5" hidden="1" x14ac:dyDescent="0.3">
      <c r="A555" s="2">
        <v>554</v>
      </c>
      <c r="B555" s="2" t="s">
        <v>538</v>
      </c>
      <c r="C555" s="2" t="s">
        <v>4</v>
      </c>
      <c r="D555" s="9" t="s">
        <v>546</v>
      </c>
      <c r="E555" s="3" t="s">
        <v>110</v>
      </c>
    </row>
    <row r="556" spans="1:5" hidden="1" x14ac:dyDescent="0.3">
      <c r="A556" s="2">
        <v>555</v>
      </c>
      <c r="B556" s="2" t="s">
        <v>539</v>
      </c>
      <c r="C556" s="2" t="s">
        <v>4</v>
      </c>
      <c r="D556" s="9" t="s">
        <v>546</v>
      </c>
      <c r="E556" s="3" t="s">
        <v>110</v>
      </c>
    </row>
    <row r="557" spans="1:5" hidden="1" x14ac:dyDescent="0.3">
      <c r="A557" s="2">
        <v>556</v>
      </c>
      <c r="B557" s="2" t="s">
        <v>540</v>
      </c>
      <c r="C557" s="2" t="s">
        <v>4</v>
      </c>
      <c r="D557" s="9" t="s">
        <v>546</v>
      </c>
      <c r="E557" s="3" t="s">
        <v>110</v>
      </c>
    </row>
    <row r="558" spans="1:5" hidden="1" x14ac:dyDescent="0.3">
      <c r="A558" s="2">
        <v>557</v>
      </c>
      <c r="B558" s="2" t="s">
        <v>541</v>
      </c>
      <c r="C558" s="2" t="s">
        <v>4</v>
      </c>
      <c r="D558" s="9" t="s">
        <v>546</v>
      </c>
      <c r="E558" s="3" t="s">
        <v>110</v>
      </c>
    </row>
    <row r="559" spans="1:5" hidden="1" x14ac:dyDescent="0.3">
      <c r="A559" s="2">
        <v>558</v>
      </c>
      <c r="B559" s="2" t="s">
        <v>542</v>
      </c>
      <c r="C559" s="2" t="s">
        <v>543</v>
      </c>
      <c r="D559" s="9" t="s">
        <v>546</v>
      </c>
      <c r="E559" s="3" t="s">
        <v>110</v>
      </c>
    </row>
    <row r="560" spans="1:5" hidden="1" x14ac:dyDescent="0.3">
      <c r="A560" s="2">
        <v>559</v>
      </c>
      <c r="B560" s="2" t="s">
        <v>544</v>
      </c>
      <c r="C560" s="2" t="s">
        <v>4</v>
      </c>
      <c r="D560" s="9" t="s">
        <v>546</v>
      </c>
      <c r="E560" s="3" t="s">
        <v>110</v>
      </c>
    </row>
    <row r="561" spans="1:5" hidden="1" x14ac:dyDescent="0.3">
      <c r="A561" s="2">
        <v>560</v>
      </c>
      <c r="B561" s="2" t="s">
        <v>545</v>
      </c>
      <c r="C561" s="2" t="s">
        <v>543</v>
      </c>
      <c r="D561" s="9" t="s">
        <v>546</v>
      </c>
      <c r="E561" s="3" t="s">
        <v>110</v>
      </c>
    </row>
    <row r="562" spans="1:5" hidden="1" x14ac:dyDescent="0.3">
      <c r="A562" s="2">
        <v>561</v>
      </c>
      <c r="B562" s="2" t="s">
        <v>547</v>
      </c>
      <c r="C562" s="2" t="s">
        <v>4</v>
      </c>
      <c r="D562" s="9" t="s">
        <v>557</v>
      </c>
      <c r="E562" s="3" t="s">
        <v>110</v>
      </c>
    </row>
    <row r="563" spans="1:5" hidden="1" x14ac:dyDescent="0.3">
      <c r="A563" s="2">
        <v>562</v>
      </c>
      <c r="B563" s="2" t="s">
        <v>548</v>
      </c>
      <c r="C563" s="2" t="s">
        <v>4</v>
      </c>
      <c r="D563" s="9" t="s">
        <v>557</v>
      </c>
      <c r="E563" s="3" t="s">
        <v>110</v>
      </c>
    </row>
    <row r="564" spans="1:5" hidden="1" x14ac:dyDescent="0.3">
      <c r="A564" s="2">
        <v>563</v>
      </c>
      <c r="B564" s="2" t="s">
        <v>549</v>
      </c>
      <c r="C564" s="2" t="s">
        <v>4</v>
      </c>
      <c r="D564" s="9" t="s">
        <v>557</v>
      </c>
      <c r="E564" s="3" t="s">
        <v>110</v>
      </c>
    </row>
    <row r="565" spans="1:5" hidden="1" x14ac:dyDescent="0.3">
      <c r="A565" s="2">
        <v>564</v>
      </c>
      <c r="B565" s="2" t="s">
        <v>550</v>
      </c>
      <c r="C565" s="2" t="s">
        <v>4</v>
      </c>
      <c r="D565" s="9" t="s">
        <v>557</v>
      </c>
      <c r="E565" s="3" t="s">
        <v>110</v>
      </c>
    </row>
    <row r="566" spans="1:5" hidden="1" x14ac:dyDescent="0.3">
      <c r="A566" s="2">
        <v>565</v>
      </c>
      <c r="B566" s="2" t="s">
        <v>551</v>
      </c>
      <c r="C566" s="2" t="s">
        <v>4</v>
      </c>
      <c r="D566" s="9" t="s">
        <v>557</v>
      </c>
      <c r="E566" s="3" t="s">
        <v>110</v>
      </c>
    </row>
    <row r="567" spans="1:5" hidden="1" x14ac:dyDescent="0.3">
      <c r="A567" s="2">
        <v>566</v>
      </c>
      <c r="B567" s="2" t="s">
        <v>552</v>
      </c>
      <c r="C567" s="2" t="s">
        <v>4</v>
      </c>
      <c r="D567" s="9" t="s">
        <v>557</v>
      </c>
      <c r="E567" s="3" t="s">
        <v>110</v>
      </c>
    </row>
    <row r="568" spans="1:5" hidden="1" x14ac:dyDescent="0.3">
      <c r="A568" s="2">
        <v>567</v>
      </c>
      <c r="B568" s="2" t="s">
        <v>553</v>
      </c>
      <c r="C568" s="2" t="s">
        <v>4</v>
      </c>
      <c r="D568" s="9" t="s">
        <v>557</v>
      </c>
      <c r="E568" s="3" t="s">
        <v>110</v>
      </c>
    </row>
    <row r="569" spans="1:5" hidden="1" x14ac:dyDescent="0.3">
      <c r="A569" s="2">
        <v>568</v>
      </c>
      <c r="B569" s="2" t="s">
        <v>554</v>
      </c>
      <c r="C569" s="2" t="s">
        <v>543</v>
      </c>
      <c r="D569" s="9" t="s">
        <v>557</v>
      </c>
      <c r="E569" s="3" t="s">
        <v>110</v>
      </c>
    </row>
    <row r="570" spans="1:5" hidden="1" x14ac:dyDescent="0.3">
      <c r="A570" s="2">
        <v>569</v>
      </c>
      <c r="B570" s="2" t="s">
        <v>555</v>
      </c>
      <c r="C570" s="2" t="s">
        <v>543</v>
      </c>
      <c r="D570" s="9" t="s">
        <v>557</v>
      </c>
      <c r="E570" s="3" t="s">
        <v>110</v>
      </c>
    </row>
    <row r="571" spans="1:5" hidden="1" x14ac:dyDescent="0.3">
      <c r="A571" s="2">
        <v>570</v>
      </c>
      <c r="B571" s="2" t="s">
        <v>556</v>
      </c>
      <c r="C571" s="2" t="s">
        <v>4</v>
      </c>
      <c r="D571" s="9" t="s">
        <v>557</v>
      </c>
      <c r="E571" s="3" t="s">
        <v>110</v>
      </c>
    </row>
    <row r="572" spans="1:5" hidden="1" x14ac:dyDescent="0.3">
      <c r="A572" s="2">
        <v>571</v>
      </c>
      <c r="B572" s="2" t="s">
        <v>558</v>
      </c>
      <c r="C572" s="2" t="s">
        <v>4</v>
      </c>
      <c r="D572" s="9" t="s">
        <v>568</v>
      </c>
      <c r="E572" s="3" t="s">
        <v>110</v>
      </c>
    </row>
    <row r="573" spans="1:5" hidden="1" x14ac:dyDescent="0.3">
      <c r="A573" s="2">
        <v>572</v>
      </c>
      <c r="B573" s="2" t="s">
        <v>559</v>
      </c>
      <c r="C573" s="2" t="s">
        <v>4</v>
      </c>
      <c r="D573" s="9" t="s">
        <v>568</v>
      </c>
      <c r="E573" s="3" t="s">
        <v>110</v>
      </c>
    </row>
    <row r="574" spans="1:5" hidden="1" x14ac:dyDescent="0.3">
      <c r="A574" s="2">
        <v>573</v>
      </c>
      <c r="B574" s="2" t="s">
        <v>560</v>
      </c>
      <c r="C574" s="2" t="s">
        <v>4</v>
      </c>
      <c r="D574" s="9" t="s">
        <v>568</v>
      </c>
      <c r="E574" s="3" t="s">
        <v>110</v>
      </c>
    </row>
    <row r="575" spans="1:5" hidden="1" x14ac:dyDescent="0.3">
      <c r="A575" s="2">
        <v>574</v>
      </c>
      <c r="B575" s="2" t="s">
        <v>561</v>
      </c>
      <c r="C575" s="2" t="s">
        <v>4</v>
      </c>
      <c r="D575" s="9" t="s">
        <v>568</v>
      </c>
      <c r="E575" s="3" t="s">
        <v>110</v>
      </c>
    </row>
    <row r="576" spans="1:5" hidden="1" x14ac:dyDescent="0.3">
      <c r="A576" s="2">
        <v>575</v>
      </c>
      <c r="B576" s="2" t="s">
        <v>562</v>
      </c>
      <c r="C576" s="2" t="s">
        <v>4</v>
      </c>
      <c r="D576" s="9" t="s">
        <v>568</v>
      </c>
      <c r="E576" s="3" t="s">
        <v>110</v>
      </c>
    </row>
    <row r="577" spans="1:5" hidden="1" x14ac:dyDescent="0.3">
      <c r="A577" s="2">
        <v>576</v>
      </c>
      <c r="B577" s="2" t="s">
        <v>563</v>
      </c>
      <c r="C577" s="2" t="s">
        <v>4</v>
      </c>
      <c r="D577" s="9" t="s">
        <v>568</v>
      </c>
      <c r="E577" s="3" t="s">
        <v>110</v>
      </c>
    </row>
    <row r="578" spans="1:5" hidden="1" x14ac:dyDescent="0.3">
      <c r="A578" s="2">
        <v>577</v>
      </c>
      <c r="B578" s="2" t="s">
        <v>564</v>
      </c>
      <c r="C578" s="2" t="s">
        <v>4</v>
      </c>
      <c r="D578" s="9" t="s">
        <v>568</v>
      </c>
      <c r="E578" s="3" t="s">
        <v>110</v>
      </c>
    </row>
    <row r="579" spans="1:5" hidden="1" x14ac:dyDescent="0.3">
      <c r="A579" s="2">
        <v>578</v>
      </c>
      <c r="B579" s="2" t="s">
        <v>565</v>
      </c>
      <c r="C579" s="2" t="s">
        <v>543</v>
      </c>
      <c r="D579" s="9" t="s">
        <v>568</v>
      </c>
      <c r="E579" s="3" t="s">
        <v>110</v>
      </c>
    </row>
    <row r="580" spans="1:5" hidden="1" x14ac:dyDescent="0.3">
      <c r="A580" s="2">
        <v>579</v>
      </c>
      <c r="B580" s="2" t="s">
        <v>566</v>
      </c>
      <c r="C580" s="2" t="s">
        <v>543</v>
      </c>
      <c r="D580" s="9" t="s">
        <v>568</v>
      </c>
      <c r="E580" s="3" t="s">
        <v>110</v>
      </c>
    </row>
    <row r="581" spans="1:5" hidden="1" x14ac:dyDescent="0.3">
      <c r="A581" s="2">
        <v>580</v>
      </c>
      <c r="B581" s="2" t="s">
        <v>567</v>
      </c>
      <c r="C581" s="2" t="s">
        <v>543</v>
      </c>
      <c r="D581" s="9" t="s">
        <v>568</v>
      </c>
      <c r="E581" s="3" t="s">
        <v>110</v>
      </c>
    </row>
    <row r="582" spans="1:5" hidden="1" x14ac:dyDescent="0.3">
      <c r="A582" s="2">
        <v>581</v>
      </c>
      <c r="B582" s="2" t="s">
        <v>569</v>
      </c>
      <c r="C582" s="2" t="s">
        <v>4</v>
      </c>
      <c r="D582" s="9" t="s">
        <v>578</v>
      </c>
      <c r="E582" s="3" t="s">
        <v>110</v>
      </c>
    </row>
    <row r="583" spans="1:5" hidden="1" x14ac:dyDescent="0.3">
      <c r="A583" s="2">
        <v>582</v>
      </c>
      <c r="B583" s="2" t="s">
        <v>570</v>
      </c>
      <c r="C583" s="2" t="s">
        <v>4</v>
      </c>
      <c r="D583" s="9" t="s">
        <v>578</v>
      </c>
      <c r="E583" s="3" t="s">
        <v>110</v>
      </c>
    </row>
    <row r="584" spans="1:5" hidden="1" x14ac:dyDescent="0.3">
      <c r="A584" s="2">
        <v>583</v>
      </c>
      <c r="B584" s="2" t="s">
        <v>347</v>
      </c>
      <c r="C584" s="2" t="s">
        <v>4</v>
      </c>
      <c r="D584" s="9" t="s">
        <v>578</v>
      </c>
      <c r="E584" s="3" t="s">
        <v>110</v>
      </c>
    </row>
    <row r="585" spans="1:5" hidden="1" x14ac:dyDescent="0.3">
      <c r="A585" s="2">
        <v>584</v>
      </c>
      <c r="B585" s="2" t="s">
        <v>571</v>
      </c>
      <c r="C585" s="2" t="s">
        <v>4</v>
      </c>
      <c r="D585" s="9" t="s">
        <v>578</v>
      </c>
      <c r="E585" s="3" t="s">
        <v>110</v>
      </c>
    </row>
    <row r="586" spans="1:5" ht="28.8" hidden="1" x14ac:dyDescent="0.3">
      <c r="A586" s="2">
        <v>585</v>
      </c>
      <c r="B586" s="2" t="s">
        <v>572</v>
      </c>
      <c r="C586" s="2" t="s">
        <v>4</v>
      </c>
      <c r="D586" s="9" t="s">
        <v>578</v>
      </c>
      <c r="E586" s="3" t="s">
        <v>110</v>
      </c>
    </row>
    <row r="587" spans="1:5" hidden="1" x14ac:dyDescent="0.3">
      <c r="A587" s="2">
        <v>586</v>
      </c>
      <c r="B587" s="2" t="s">
        <v>573</v>
      </c>
      <c r="C587" s="2" t="s">
        <v>4</v>
      </c>
      <c r="D587" s="9" t="s">
        <v>578</v>
      </c>
      <c r="E587" s="3" t="s">
        <v>110</v>
      </c>
    </row>
    <row r="588" spans="1:5" hidden="1" x14ac:dyDescent="0.3">
      <c r="A588" s="2">
        <v>587</v>
      </c>
      <c r="B588" s="2" t="s">
        <v>574</v>
      </c>
      <c r="C588" s="2" t="s">
        <v>4</v>
      </c>
      <c r="D588" s="9" t="s">
        <v>578</v>
      </c>
      <c r="E588" s="3" t="s">
        <v>110</v>
      </c>
    </row>
    <row r="589" spans="1:5" hidden="1" x14ac:dyDescent="0.3">
      <c r="A589" s="2">
        <v>588</v>
      </c>
      <c r="B589" s="2" t="s">
        <v>575</v>
      </c>
      <c r="C589" s="2" t="s">
        <v>543</v>
      </c>
      <c r="D589" s="9" t="s">
        <v>578</v>
      </c>
      <c r="E589" s="3" t="s">
        <v>110</v>
      </c>
    </row>
    <row r="590" spans="1:5" hidden="1" x14ac:dyDescent="0.3">
      <c r="A590" s="2">
        <v>589</v>
      </c>
      <c r="B590" s="2" t="s">
        <v>576</v>
      </c>
      <c r="C590" s="2" t="s">
        <v>543</v>
      </c>
      <c r="D590" s="9" t="s">
        <v>578</v>
      </c>
      <c r="E590" s="3" t="s">
        <v>110</v>
      </c>
    </row>
    <row r="591" spans="1:5" hidden="1" x14ac:dyDescent="0.3">
      <c r="A591" s="2">
        <v>590</v>
      </c>
      <c r="B591" s="2" t="s">
        <v>577</v>
      </c>
      <c r="C591" s="2" t="s">
        <v>543</v>
      </c>
      <c r="D591" s="9" t="s">
        <v>578</v>
      </c>
      <c r="E591" s="3" t="s">
        <v>110</v>
      </c>
    </row>
    <row r="592" spans="1:5" hidden="1" x14ac:dyDescent="0.3">
      <c r="A592" s="2">
        <v>591</v>
      </c>
      <c r="B592" s="2" t="s">
        <v>579</v>
      </c>
      <c r="C592" s="2" t="s">
        <v>4</v>
      </c>
      <c r="D592" s="9" t="s">
        <v>589</v>
      </c>
      <c r="E592" s="3" t="s">
        <v>110</v>
      </c>
    </row>
    <row r="593" spans="1:5" hidden="1" x14ac:dyDescent="0.3">
      <c r="A593" s="2">
        <v>592</v>
      </c>
      <c r="B593" s="2" t="s">
        <v>580</v>
      </c>
      <c r="C593" s="2" t="s">
        <v>4</v>
      </c>
      <c r="D593" s="9" t="s">
        <v>589</v>
      </c>
      <c r="E593" s="3" t="s">
        <v>110</v>
      </c>
    </row>
    <row r="594" spans="1:5" hidden="1" x14ac:dyDescent="0.3">
      <c r="A594" s="2">
        <v>593</v>
      </c>
      <c r="B594" s="2" t="s">
        <v>581</v>
      </c>
      <c r="C594" s="2" t="s">
        <v>4</v>
      </c>
      <c r="D594" s="9" t="s">
        <v>589</v>
      </c>
      <c r="E594" s="3" t="s">
        <v>110</v>
      </c>
    </row>
    <row r="595" spans="1:5" hidden="1" x14ac:dyDescent="0.3">
      <c r="A595" s="2">
        <v>594</v>
      </c>
      <c r="B595" s="2" t="s">
        <v>582</v>
      </c>
      <c r="C595" s="2" t="s">
        <v>4</v>
      </c>
      <c r="D595" s="9" t="s">
        <v>589</v>
      </c>
      <c r="E595" s="3" t="s">
        <v>110</v>
      </c>
    </row>
    <row r="596" spans="1:5" hidden="1" x14ac:dyDescent="0.3">
      <c r="A596" s="2">
        <v>595</v>
      </c>
      <c r="B596" s="2" t="s">
        <v>583</v>
      </c>
      <c r="C596" s="2" t="s">
        <v>4</v>
      </c>
      <c r="D596" s="9" t="s">
        <v>589</v>
      </c>
      <c r="E596" s="3" t="s">
        <v>110</v>
      </c>
    </row>
    <row r="597" spans="1:5" hidden="1" x14ac:dyDescent="0.3">
      <c r="A597" s="2">
        <v>596</v>
      </c>
      <c r="B597" s="2" t="s">
        <v>584</v>
      </c>
      <c r="C597" s="2" t="s">
        <v>4</v>
      </c>
      <c r="D597" s="9" t="s">
        <v>589</v>
      </c>
      <c r="E597" s="3" t="s">
        <v>110</v>
      </c>
    </row>
    <row r="598" spans="1:5" hidden="1" x14ac:dyDescent="0.3">
      <c r="A598" s="2">
        <v>597</v>
      </c>
      <c r="B598" s="2" t="s">
        <v>585</v>
      </c>
      <c r="C598" s="2" t="s">
        <v>4</v>
      </c>
      <c r="D598" s="9" t="s">
        <v>589</v>
      </c>
      <c r="E598" s="3" t="s">
        <v>110</v>
      </c>
    </row>
    <row r="599" spans="1:5" hidden="1" x14ac:dyDescent="0.3">
      <c r="A599" s="2">
        <v>598</v>
      </c>
      <c r="B599" s="2" t="s">
        <v>586</v>
      </c>
      <c r="C599" s="2" t="s">
        <v>4</v>
      </c>
      <c r="D599" s="9" t="s">
        <v>589</v>
      </c>
      <c r="E599" s="3" t="s">
        <v>110</v>
      </c>
    </row>
    <row r="600" spans="1:5" hidden="1" x14ac:dyDescent="0.3">
      <c r="A600" s="2">
        <v>599</v>
      </c>
      <c r="B600" s="2" t="s">
        <v>587</v>
      </c>
      <c r="C600" s="2" t="s">
        <v>543</v>
      </c>
      <c r="D600" s="9" t="s">
        <v>589</v>
      </c>
      <c r="E600" s="3" t="s">
        <v>110</v>
      </c>
    </row>
    <row r="601" spans="1:5" hidden="1" x14ac:dyDescent="0.3">
      <c r="A601" s="2">
        <v>600</v>
      </c>
      <c r="B601" s="2" t="s">
        <v>588</v>
      </c>
      <c r="C601" s="2" t="s">
        <v>543</v>
      </c>
      <c r="D601" s="9" t="s">
        <v>589</v>
      </c>
      <c r="E601" s="3" t="s">
        <v>110</v>
      </c>
    </row>
    <row r="602" spans="1:5" hidden="1" x14ac:dyDescent="0.3">
      <c r="A602" s="2">
        <v>600</v>
      </c>
      <c r="B602" s="2" t="s">
        <v>590</v>
      </c>
      <c r="C602" s="2" t="s">
        <v>4</v>
      </c>
      <c r="D602" s="13" t="s">
        <v>71</v>
      </c>
      <c r="E602" s="3" t="s">
        <v>658</v>
      </c>
    </row>
    <row r="603" spans="1:5" hidden="1" x14ac:dyDescent="0.3">
      <c r="A603" s="2">
        <v>601</v>
      </c>
      <c r="B603" s="2" t="s">
        <v>659</v>
      </c>
      <c r="C603" s="2" t="s">
        <v>4</v>
      </c>
      <c r="D603" s="13" t="s">
        <v>71</v>
      </c>
      <c r="E603" s="3" t="s">
        <v>658</v>
      </c>
    </row>
    <row r="604" spans="1:5" hidden="1" x14ac:dyDescent="0.3">
      <c r="A604" s="2">
        <v>602</v>
      </c>
      <c r="B604" s="2" t="s">
        <v>591</v>
      </c>
      <c r="C604" s="2" t="s">
        <v>4</v>
      </c>
      <c r="D604" s="13" t="s">
        <v>71</v>
      </c>
      <c r="E604" s="3" t="s">
        <v>658</v>
      </c>
    </row>
    <row r="605" spans="1:5" hidden="1" x14ac:dyDescent="0.3">
      <c r="A605" s="2">
        <v>603</v>
      </c>
      <c r="B605" s="2" t="s">
        <v>592</v>
      </c>
      <c r="C605" s="2" t="s">
        <v>4</v>
      </c>
      <c r="D605" s="13" t="s">
        <v>71</v>
      </c>
      <c r="E605" s="3" t="s">
        <v>658</v>
      </c>
    </row>
    <row r="606" spans="1:5" hidden="1" x14ac:dyDescent="0.3">
      <c r="A606" s="2">
        <v>604</v>
      </c>
      <c r="B606" s="2" t="s">
        <v>660</v>
      </c>
      <c r="C606" s="2" t="s">
        <v>4</v>
      </c>
      <c r="D606" s="13" t="s">
        <v>71</v>
      </c>
      <c r="E606" s="3" t="s">
        <v>658</v>
      </c>
    </row>
    <row r="607" spans="1:5" hidden="1" x14ac:dyDescent="0.3">
      <c r="A607" s="2">
        <v>605</v>
      </c>
      <c r="B607" s="2" t="s">
        <v>661</v>
      </c>
      <c r="C607" s="2" t="s">
        <v>4</v>
      </c>
      <c r="D607" s="13" t="s">
        <v>71</v>
      </c>
      <c r="E607" s="3" t="s">
        <v>658</v>
      </c>
    </row>
    <row r="608" spans="1:5" hidden="1" x14ac:dyDescent="0.3">
      <c r="A608" s="2">
        <v>606</v>
      </c>
      <c r="B608" s="2" t="s">
        <v>662</v>
      </c>
      <c r="C608" s="2" t="s">
        <v>4</v>
      </c>
      <c r="D608" s="13" t="s">
        <v>71</v>
      </c>
      <c r="E608" s="3" t="s">
        <v>658</v>
      </c>
    </row>
    <row r="609" spans="1:5" hidden="1" x14ac:dyDescent="0.3">
      <c r="A609" s="2">
        <v>607</v>
      </c>
      <c r="B609" s="2" t="s">
        <v>663</v>
      </c>
      <c r="C609" s="2" t="s">
        <v>4</v>
      </c>
      <c r="D609" s="13" t="s">
        <v>71</v>
      </c>
      <c r="E609" s="3" t="s">
        <v>658</v>
      </c>
    </row>
    <row r="610" spans="1:5" hidden="1" x14ac:dyDescent="0.3">
      <c r="A610" s="2">
        <v>608</v>
      </c>
      <c r="B610" s="2" t="s">
        <v>664</v>
      </c>
      <c r="C610" s="2" t="s">
        <v>4</v>
      </c>
      <c r="D610" s="13" t="s">
        <v>71</v>
      </c>
      <c r="E610" s="3" t="s">
        <v>658</v>
      </c>
    </row>
    <row r="611" spans="1:5" hidden="1" x14ac:dyDescent="0.3">
      <c r="A611" s="2">
        <v>609</v>
      </c>
      <c r="B611" s="2" t="s">
        <v>648</v>
      </c>
      <c r="C611" s="2" t="s">
        <v>4</v>
      </c>
      <c r="D611" s="13" t="s">
        <v>71</v>
      </c>
      <c r="E611" s="3" t="s">
        <v>658</v>
      </c>
    </row>
    <row r="612" spans="1:5" hidden="1" x14ac:dyDescent="0.3">
      <c r="A612" s="2">
        <v>610</v>
      </c>
      <c r="B612" s="2" t="s">
        <v>647</v>
      </c>
      <c r="C612" s="2" t="s">
        <v>4</v>
      </c>
      <c r="D612" s="13" t="s">
        <v>71</v>
      </c>
      <c r="E612" s="3" t="s">
        <v>658</v>
      </c>
    </row>
    <row r="613" spans="1:5" hidden="1" x14ac:dyDescent="0.3">
      <c r="A613" s="2">
        <v>611</v>
      </c>
      <c r="B613" s="2" t="s">
        <v>665</v>
      </c>
      <c r="C613" s="2" t="s">
        <v>4</v>
      </c>
      <c r="D613" s="13" t="s">
        <v>71</v>
      </c>
      <c r="E613" s="3" t="s">
        <v>658</v>
      </c>
    </row>
    <row r="614" spans="1:5" hidden="1" x14ac:dyDescent="0.3">
      <c r="A614" s="2">
        <v>612</v>
      </c>
      <c r="B614" s="2" t="s">
        <v>666</v>
      </c>
      <c r="C614" s="2" t="s">
        <v>4</v>
      </c>
      <c r="D614" s="13" t="s">
        <v>71</v>
      </c>
      <c r="E614" s="3" t="s">
        <v>658</v>
      </c>
    </row>
    <row r="615" spans="1:5" hidden="1" x14ac:dyDescent="0.3">
      <c r="A615" s="2">
        <v>613</v>
      </c>
      <c r="B615" s="2" t="s">
        <v>667</v>
      </c>
      <c r="C615" s="2" t="s">
        <v>4</v>
      </c>
      <c r="D615" s="13" t="s">
        <v>71</v>
      </c>
      <c r="E615" s="3" t="s">
        <v>658</v>
      </c>
    </row>
    <row r="616" spans="1:5" hidden="1" x14ac:dyDescent="0.3">
      <c r="A616" s="2">
        <v>614</v>
      </c>
      <c r="B616" s="2" t="s">
        <v>668</v>
      </c>
      <c r="C616" s="2" t="s">
        <v>108</v>
      </c>
      <c r="D616" s="13" t="s">
        <v>71</v>
      </c>
      <c r="E616" s="3" t="s">
        <v>658</v>
      </c>
    </row>
    <row r="617" spans="1:5" hidden="1" x14ac:dyDescent="0.3">
      <c r="A617" s="2">
        <v>615</v>
      </c>
      <c r="B617" s="2" t="s">
        <v>669</v>
      </c>
      <c r="C617" s="2" t="s">
        <v>4</v>
      </c>
      <c r="D617" s="13" t="s">
        <v>71</v>
      </c>
      <c r="E617" s="3" t="s">
        <v>658</v>
      </c>
    </row>
    <row r="618" spans="1:5" hidden="1" x14ac:dyDescent="0.3">
      <c r="A618" s="2">
        <v>616</v>
      </c>
      <c r="B618" s="2" t="s">
        <v>670</v>
      </c>
      <c r="C618" s="2" t="s">
        <v>108</v>
      </c>
      <c r="D618" s="13" t="s">
        <v>71</v>
      </c>
      <c r="E618" s="3" t="s">
        <v>658</v>
      </c>
    </row>
    <row r="619" spans="1:5" hidden="1" x14ac:dyDescent="0.3">
      <c r="A619" s="2">
        <v>617</v>
      </c>
      <c r="B619" s="2" t="s">
        <v>671</v>
      </c>
      <c r="C619" s="2" t="s">
        <v>108</v>
      </c>
      <c r="D619" s="13" t="s">
        <v>71</v>
      </c>
      <c r="E619" s="3" t="s">
        <v>658</v>
      </c>
    </row>
    <row r="620" spans="1:5" hidden="1" x14ac:dyDescent="0.3">
      <c r="A620" s="2">
        <v>618</v>
      </c>
      <c r="B620" s="2" t="s">
        <v>672</v>
      </c>
      <c r="C620" s="2" t="s">
        <v>108</v>
      </c>
      <c r="D620" s="13" t="s">
        <v>71</v>
      </c>
      <c r="E620" s="3" t="s">
        <v>658</v>
      </c>
    </row>
    <row r="621" spans="1:5" hidden="1" x14ac:dyDescent="0.3">
      <c r="A621" s="2">
        <v>619</v>
      </c>
      <c r="B621" s="2" t="s">
        <v>596</v>
      </c>
      <c r="C621" s="2" t="s">
        <v>108</v>
      </c>
      <c r="D621" s="13" t="s">
        <v>71</v>
      </c>
      <c r="E621" s="3" t="s">
        <v>658</v>
      </c>
    </row>
    <row r="622" spans="1:5" hidden="1" x14ac:dyDescent="0.3">
      <c r="A622" s="2">
        <v>620</v>
      </c>
      <c r="B622" s="2" t="s">
        <v>597</v>
      </c>
      <c r="C622" s="2" t="s">
        <v>108</v>
      </c>
      <c r="D622" s="13" t="s">
        <v>71</v>
      </c>
      <c r="E622" s="3" t="s">
        <v>658</v>
      </c>
    </row>
    <row r="623" spans="1:5" hidden="1" x14ac:dyDescent="0.3">
      <c r="A623" s="2">
        <v>621</v>
      </c>
      <c r="B623" s="2" t="s">
        <v>673</v>
      </c>
      <c r="C623" s="2" t="s">
        <v>4</v>
      </c>
      <c r="D623" s="13" t="s">
        <v>71</v>
      </c>
      <c r="E623" s="3" t="s">
        <v>658</v>
      </c>
    </row>
    <row r="624" spans="1:5" hidden="1" x14ac:dyDescent="0.3">
      <c r="A624" s="2">
        <v>622</v>
      </c>
      <c r="B624" s="2" t="s">
        <v>674</v>
      </c>
      <c r="C624" s="2" t="s">
        <v>108</v>
      </c>
      <c r="D624" s="13" t="s">
        <v>71</v>
      </c>
      <c r="E624" s="3" t="s">
        <v>658</v>
      </c>
    </row>
    <row r="625" spans="1:5" hidden="1" x14ac:dyDescent="0.3">
      <c r="A625" s="2">
        <v>623</v>
      </c>
      <c r="B625" s="2" t="s">
        <v>675</v>
      </c>
      <c r="C625" s="2" t="s">
        <v>108</v>
      </c>
      <c r="D625" s="13" t="s">
        <v>71</v>
      </c>
      <c r="E625" s="3" t="s">
        <v>658</v>
      </c>
    </row>
    <row r="626" spans="1:5" hidden="1" x14ac:dyDescent="0.3">
      <c r="A626" s="2">
        <v>624</v>
      </c>
      <c r="B626" s="2" t="s">
        <v>594</v>
      </c>
      <c r="C626" s="2" t="s">
        <v>4</v>
      </c>
      <c r="D626" s="13" t="s">
        <v>71</v>
      </c>
      <c r="E626" s="3" t="s">
        <v>658</v>
      </c>
    </row>
    <row r="627" spans="1:5" hidden="1" x14ac:dyDescent="0.3">
      <c r="A627" s="2">
        <v>625</v>
      </c>
      <c r="B627" s="2" t="s">
        <v>676</v>
      </c>
      <c r="C627" s="2" t="s">
        <v>4</v>
      </c>
      <c r="D627" s="13" t="s">
        <v>71</v>
      </c>
      <c r="E627" s="3" t="s">
        <v>658</v>
      </c>
    </row>
    <row r="628" spans="1:5" hidden="1" x14ac:dyDescent="0.3">
      <c r="A628" s="2">
        <v>626</v>
      </c>
      <c r="B628" s="2" t="s">
        <v>593</v>
      </c>
      <c r="C628" s="2" t="s">
        <v>4</v>
      </c>
      <c r="D628" s="13" t="s">
        <v>71</v>
      </c>
      <c r="E628" s="3" t="s">
        <v>658</v>
      </c>
    </row>
    <row r="629" spans="1:5" hidden="1" x14ac:dyDescent="0.3">
      <c r="A629" s="2">
        <v>627</v>
      </c>
      <c r="B629" s="2" t="s">
        <v>15</v>
      </c>
      <c r="C629" s="2" t="s">
        <v>4</v>
      </c>
      <c r="D629" s="13" t="s">
        <v>71</v>
      </c>
      <c r="E629" s="3" t="s">
        <v>658</v>
      </c>
    </row>
    <row r="630" spans="1:5" hidden="1" x14ac:dyDescent="0.3">
      <c r="A630" s="2">
        <v>628</v>
      </c>
      <c r="B630" s="2" t="s">
        <v>13</v>
      </c>
      <c r="C630" s="2" t="s">
        <v>4</v>
      </c>
      <c r="D630" s="13" t="s">
        <v>71</v>
      </c>
      <c r="E630" s="3" t="s">
        <v>658</v>
      </c>
    </row>
    <row r="631" spans="1:5" hidden="1" x14ac:dyDescent="0.3">
      <c r="A631" s="2">
        <v>629</v>
      </c>
      <c r="B631" s="2" t="s">
        <v>37</v>
      </c>
      <c r="C631" s="2" t="s">
        <v>4</v>
      </c>
      <c r="D631" s="13" t="s">
        <v>71</v>
      </c>
      <c r="E631" s="3" t="s">
        <v>658</v>
      </c>
    </row>
    <row r="632" spans="1:5" hidden="1" x14ac:dyDescent="0.3">
      <c r="A632" s="2">
        <v>630</v>
      </c>
      <c r="B632" s="2" t="s">
        <v>677</v>
      </c>
      <c r="C632" s="2" t="s">
        <v>4</v>
      </c>
      <c r="D632" s="13" t="s">
        <v>71</v>
      </c>
      <c r="E632" s="3" t="s">
        <v>658</v>
      </c>
    </row>
    <row r="633" spans="1:5" hidden="1" x14ac:dyDescent="0.3">
      <c r="A633" s="2">
        <v>631</v>
      </c>
      <c r="B633" s="2" t="s">
        <v>105</v>
      </c>
      <c r="C633" s="2" t="s">
        <v>4</v>
      </c>
      <c r="D633" s="13" t="s">
        <v>71</v>
      </c>
      <c r="E633" s="3" t="s">
        <v>658</v>
      </c>
    </row>
    <row r="634" spans="1:5" hidden="1" x14ac:dyDescent="0.3">
      <c r="A634" s="2">
        <v>632</v>
      </c>
      <c r="B634" s="2" t="s">
        <v>678</v>
      </c>
      <c r="C634" s="2" t="s">
        <v>108</v>
      </c>
      <c r="D634" s="13" t="s">
        <v>71</v>
      </c>
      <c r="E634" s="3" t="s">
        <v>658</v>
      </c>
    </row>
    <row r="635" spans="1:5" hidden="1" x14ac:dyDescent="0.3">
      <c r="A635" s="2">
        <v>633</v>
      </c>
      <c r="B635" s="2" t="s">
        <v>679</v>
      </c>
      <c r="C635" s="2" t="s">
        <v>108</v>
      </c>
      <c r="D635" s="13" t="s">
        <v>71</v>
      </c>
      <c r="E635" s="3" t="s">
        <v>658</v>
      </c>
    </row>
    <row r="636" spans="1:5" hidden="1" x14ac:dyDescent="0.3">
      <c r="A636" s="2">
        <v>634</v>
      </c>
      <c r="B636" s="2" t="s">
        <v>106</v>
      </c>
      <c r="C636" s="2" t="s">
        <v>108</v>
      </c>
      <c r="D636" s="13" t="s">
        <v>71</v>
      </c>
      <c r="E636" s="3" t="s">
        <v>658</v>
      </c>
    </row>
    <row r="637" spans="1:5" hidden="1" x14ac:dyDescent="0.3">
      <c r="A637" s="2">
        <v>635</v>
      </c>
      <c r="B637" s="2" t="s">
        <v>100</v>
      </c>
      <c r="C637" s="2" t="s">
        <v>108</v>
      </c>
      <c r="D637" s="13" t="s">
        <v>71</v>
      </c>
      <c r="E637" s="3" t="s">
        <v>658</v>
      </c>
    </row>
    <row r="638" spans="1:5" hidden="1" x14ac:dyDescent="0.3">
      <c r="A638" s="2">
        <v>636</v>
      </c>
      <c r="B638" s="2" t="s">
        <v>680</v>
      </c>
      <c r="C638" s="2" t="s">
        <v>108</v>
      </c>
      <c r="D638" s="13" t="s">
        <v>71</v>
      </c>
      <c r="E638" s="3" t="s">
        <v>658</v>
      </c>
    </row>
    <row r="639" spans="1:5" hidden="1" x14ac:dyDescent="0.3">
      <c r="A639" s="2">
        <v>637</v>
      </c>
      <c r="B639" s="2" t="s">
        <v>681</v>
      </c>
      <c r="C639" s="2" t="s">
        <v>4</v>
      </c>
      <c r="D639" s="13" t="s">
        <v>71</v>
      </c>
      <c r="E639" s="3" t="s">
        <v>658</v>
      </c>
    </row>
    <row r="640" spans="1:5" hidden="1" x14ac:dyDescent="0.3">
      <c r="A640" s="2">
        <v>638</v>
      </c>
      <c r="B640" s="2" t="s">
        <v>682</v>
      </c>
      <c r="C640" s="2" t="s">
        <v>4</v>
      </c>
      <c r="D640" s="13" t="s">
        <v>71</v>
      </c>
      <c r="E640" s="3" t="s">
        <v>658</v>
      </c>
    </row>
    <row r="641" spans="1:5" hidden="1" x14ac:dyDescent="0.3">
      <c r="A641" s="2">
        <v>639</v>
      </c>
      <c r="B641" s="2" t="s">
        <v>683</v>
      </c>
      <c r="C641" s="2" t="s">
        <v>4</v>
      </c>
      <c r="D641" s="13" t="s">
        <v>71</v>
      </c>
      <c r="E641" s="3" t="s">
        <v>658</v>
      </c>
    </row>
    <row r="642" spans="1:5" hidden="1" x14ac:dyDescent="0.3">
      <c r="A642" s="2">
        <v>640</v>
      </c>
      <c r="B642" s="2" t="s">
        <v>31</v>
      </c>
      <c r="C642" s="2" t="s">
        <v>4</v>
      </c>
      <c r="D642" s="13" t="s">
        <v>71</v>
      </c>
      <c r="E642" s="3" t="s">
        <v>658</v>
      </c>
    </row>
    <row r="643" spans="1:5" hidden="1" x14ac:dyDescent="0.3">
      <c r="A643" s="2">
        <v>641</v>
      </c>
      <c r="B643" s="2" t="s">
        <v>14</v>
      </c>
      <c r="C643" s="2" t="s">
        <v>4</v>
      </c>
      <c r="D643" s="13" t="s">
        <v>71</v>
      </c>
      <c r="E643" s="3" t="s">
        <v>658</v>
      </c>
    </row>
    <row r="644" spans="1:5" hidden="1" x14ac:dyDescent="0.3">
      <c r="A644" s="2">
        <v>642</v>
      </c>
      <c r="B644" s="2" t="s">
        <v>684</v>
      </c>
      <c r="C644" s="2" t="s">
        <v>4</v>
      </c>
      <c r="D644" s="13" t="s">
        <v>71</v>
      </c>
      <c r="E644" s="3" t="s">
        <v>658</v>
      </c>
    </row>
    <row r="645" spans="1:5" hidden="1" x14ac:dyDescent="0.3">
      <c r="A645" s="2">
        <v>643</v>
      </c>
      <c r="B645" s="2" t="s">
        <v>685</v>
      </c>
      <c r="C645" s="2" t="s">
        <v>108</v>
      </c>
      <c r="D645" s="13" t="s">
        <v>71</v>
      </c>
      <c r="E645" s="3" t="s">
        <v>658</v>
      </c>
    </row>
    <row r="646" spans="1:5" hidden="1" x14ac:dyDescent="0.3">
      <c r="A646" s="2">
        <v>644</v>
      </c>
      <c r="B646" s="2" t="s">
        <v>686</v>
      </c>
      <c r="C646" s="2" t="s">
        <v>4</v>
      </c>
      <c r="D646" s="13" t="s">
        <v>71</v>
      </c>
      <c r="E646" s="3" t="s">
        <v>658</v>
      </c>
    </row>
    <row r="647" spans="1:5" hidden="1" x14ac:dyDescent="0.3">
      <c r="A647" s="2">
        <v>645</v>
      </c>
      <c r="B647" s="2" t="s">
        <v>687</v>
      </c>
      <c r="C647" s="2" t="s">
        <v>4</v>
      </c>
      <c r="D647" s="13" t="s">
        <v>71</v>
      </c>
      <c r="E647" s="3" t="s">
        <v>658</v>
      </c>
    </row>
    <row r="648" spans="1:5" hidden="1" x14ac:dyDescent="0.3">
      <c r="A648" s="2">
        <v>646</v>
      </c>
      <c r="B648" s="2" t="s">
        <v>688</v>
      </c>
      <c r="C648" s="2" t="s">
        <v>108</v>
      </c>
      <c r="D648" s="13" t="s">
        <v>71</v>
      </c>
      <c r="E648" s="3" t="s">
        <v>658</v>
      </c>
    </row>
    <row r="649" spans="1:5" hidden="1" x14ac:dyDescent="0.3">
      <c r="A649" s="2">
        <v>647</v>
      </c>
      <c r="B649" s="2" t="s">
        <v>689</v>
      </c>
      <c r="C649" s="2" t="s">
        <v>108</v>
      </c>
      <c r="D649" s="13" t="s">
        <v>71</v>
      </c>
      <c r="E649" s="3" t="s">
        <v>658</v>
      </c>
    </row>
    <row r="650" spans="1:5" hidden="1" x14ac:dyDescent="0.3">
      <c r="A650" s="2">
        <v>648</v>
      </c>
      <c r="B650" s="2" t="s">
        <v>102</v>
      </c>
      <c r="C650" s="2" t="s">
        <v>108</v>
      </c>
      <c r="D650" s="13" t="s">
        <v>71</v>
      </c>
      <c r="E650" s="3" t="s">
        <v>658</v>
      </c>
    </row>
    <row r="651" spans="1:5" hidden="1" x14ac:dyDescent="0.3">
      <c r="A651" s="2">
        <v>649</v>
      </c>
      <c r="B651" s="2" t="s">
        <v>26</v>
      </c>
      <c r="C651" s="2" t="s">
        <v>4</v>
      </c>
      <c r="D651" s="13" t="s">
        <v>71</v>
      </c>
      <c r="E651" s="3" t="s">
        <v>658</v>
      </c>
    </row>
    <row r="652" spans="1:5" hidden="1" x14ac:dyDescent="0.3">
      <c r="A652" s="2">
        <v>650</v>
      </c>
      <c r="B652" s="2" t="s">
        <v>87</v>
      </c>
      <c r="C652" s="2" t="s">
        <v>108</v>
      </c>
      <c r="D652" s="13" t="s">
        <v>71</v>
      </c>
      <c r="E652" s="3" t="s">
        <v>658</v>
      </c>
    </row>
    <row r="653" spans="1:5" hidden="1" x14ac:dyDescent="0.3">
      <c r="A653" s="2">
        <v>651</v>
      </c>
      <c r="B653" s="2" t="s">
        <v>75</v>
      </c>
      <c r="C653" s="2" t="s">
        <v>108</v>
      </c>
      <c r="D653" s="13" t="s">
        <v>71</v>
      </c>
      <c r="E653" s="3" t="s">
        <v>658</v>
      </c>
    </row>
    <row r="654" spans="1:5" hidden="1" x14ac:dyDescent="0.3">
      <c r="A654" s="2">
        <v>652</v>
      </c>
      <c r="B654" s="2" t="s">
        <v>74</v>
      </c>
      <c r="C654" s="2" t="s">
        <v>108</v>
      </c>
      <c r="D654" s="13" t="s">
        <v>71</v>
      </c>
      <c r="E654" s="3" t="s">
        <v>658</v>
      </c>
    </row>
    <row r="655" spans="1:5" hidden="1" x14ac:dyDescent="0.3">
      <c r="A655" s="2">
        <v>653</v>
      </c>
      <c r="B655" s="2" t="s">
        <v>690</v>
      </c>
      <c r="C655" s="2" t="s">
        <v>108</v>
      </c>
      <c r="D655" s="13" t="s">
        <v>71</v>
      </c>
      <c r="E655" s="3" t="s">
        <v>658</v>
      </c>
    </row>
    <row r="656" spans="1:5" hidden="1" x14ac:dyDescent="0.3">
      <c r="A656" s="2">
        <v>654</v>
      </c>
      <c r="B656" s="2" t="s">
        <v>595</v>
      </c>
      <c r="C656" s="2" t="s">
        <v>108</v>
      </c>
      <c r="D656" s="13" t="s">
        <v>71</v>
      </c>
      <c r="E656" s="3" t="s">
        <v>658</v>
      </c>
    </row>
    <row r="657" spans="1:5" hidden="1" x14ac:dyDescent="0.3">
      <c r="A657" s="2">
        <v>655</v>
      </c>
      <c r="B657" s="2" t="s">
        <v>96</v>
      </c>
      <c r="C657" s="2" t="s">
        <v>108</v>
      </c>
      <c r="D657" s="13" t="s">
        <v>71</v>
      </c>
      <c r="E657" s="3" t="s">
        <v>658</v>
      </c>
    </row>
    <row r="658" spans="1:5" hidden="1" x14ac:dyDescent="0.3">
      <c r="A658" s="2">
        <v>656</v>
      </c>
      <c r="B658" s="2" t="s">
        <v>101</v>
      </c>
      <c r="C658" s="2" t="s">
        <v>108</v>
      </c>
      <c r="D658" s="13" t="s">
        <v>71</v>
      </c>
      <c r="E658" s="3" t="s">
        <v>658</v>
      </c>
    </row>
    <row r="659" spans="1:5" hidden="1" x14ac:dyDescent="0.3">
      <c r="A659" s="2">
        <v>657</v>
      </c>
      <c r="B659" s="2" t="s">
        <v>691</v>
      </c>
      <c r="C659" s="2" t="s">
        <v>4</v>
      </c>
      <c r="D659" s="13" t="s">
        <v>71</v>
      </c>
      <c r="E659" s="3" t="s">
        <v>658</v>
      </c>
    </row>
    <row r="660" spans="1:5" hidden="1" x14ac:dyDescent="0.3">
      <c r="A660" s="2">
        <v>658</v>
      </c>
      <c r="B660" s="2" t="s">
        <v>23</v>
      </c>
      <c r="C660" s="2" t="s">
        <v>4</v>
      </c>
      <c r="D660" s="13" t="s">
        <v>71</v>
      </c>
      <c r="E660" s="3" t="s">
        <v>658</v>
      </c>
    </row>
    <row r="661" spans="1:5" hidden="1" x14ac:dyDescent="0.3">
      <c r="A661" s="2">
        <v>659</v>
      </c>
      <c r="B661" s="2" t="s">
        <v>38</v>
      </c>
      <c r="C661" s="2" t="s">
        <v>108</v>
      </c>
      <c r="D661" s="13" t="s">
        <v>71</v>
      </c>
      <c r="E661" s="3" t="s">
        <v>658</v>
      </c>
    </row>
    <row r="662" spans="1:5" hidden="1" x14ac:dyDescent="0.3">
      <c r="A662" s="2">
        <v>660</v>
      </c>
      <c r="B662" s="2" t="s">
        <v>692</v>
      </c>
      <c r="C662" s="2" t="s">
        <v>4</v>
      </c>
      <c r="D662" s="13" t="s">
        <v>71</v>
      </c>
      <c r="E662" s="3" t="s">
        <v>658</v>
      </c>
    </row>
    <row r="663" spans="1:5" hidden="1" x14ac:dyDescent="0.3">
      <c r="A663" s="2">
        <v>661</v>
      </c>
      <c r="B663" s="2" t="s">
        <v>693</v>
      </c>
      <c r="C663" s="2" t="s">
        <v>4</v>
      </c>
      <c r="D663" s="13" t="s">
        <v>71</v>
      </c>
      <c r="E663" s="3" t="s">
        <v>658</v>
      </c>
    </row>
    <row r="664" spans="1:5" hidden="1" x14ac:dyDescent="0.3">
      <c r="A664" s="2">
        <v>662</v>
      </c>
      <c r="B664" s="2" t="s">
        <v>694</v>
      </c>
      <c r="C664" s="2" t="s">
        <v>4</v>
      </c>
      <c r="D664" s="13" t="s">
        <v>71</v>
      </c>
      <c r="E664" s="3" t="s">
        <v>658</v>
      </c>
    </row>
    <row r="665" spans="1:5" hidden="1" x14ac:dyDescent="0.3">
      <c r="A665" s="2">
        <v>663</v>
      </c>
      <c r="B665" s="2" t="s">
        <v>104</v>
      </c>
      <c r="C665" s="2" t="s">
        <v>108</v>
      </c>
      <c r="D665" s="13" t="s">
        <v>71</v>
      </c>
      <c r="E665" s="3" t="s">
        <v>658</v>
      </c>
    </row>
    <row r="666" spans="1:5" hidden="1" x14ac:dyDescent="0.3">
      <c r="A666" s="2">
        <v>664</v>
      </c>
      <c r="B666" s="2" t="s">
        <v>695</v>
      </c>
      <c r="C666" s="2" t="s">
        <v>108</v>
      </c>
      <c r="D666" s="13" t="s">
        <v>71</v>
      </c>
      <c r="E666" s="3" t="s">
        <v>658</v>
      </c>
    </row>
    <row r="667" spans="1:5" hidden="1" x14ac:dyDescent="0.3">
      <c r="A667" s="2">
        <v>665</v>
      </c>
      <c r="B667" s="2" t="s">
        <v>696</v>
      </c>
      <c r="C667" s="2" t="s">
        <v>108</v>
      </c>
      <c r="D667" s="13" t="s">
        <v>71</v>
      </c>
      <c r="E667" s="3" t="s">
        <v>658</v>
      </c>
    </row>
    <row r="668" spans="1:5" hidden="1" x14ac:dyDescent="0.3">
      <c r="A668" s="2">
        <v>666</v>
      </c>
      <c r="B668" s="2" t="s">
        <v>697</v>
      </c>
      <c r="C668" s="2" t="s">
        <v>108</v>
      </c>
      <c r="D668" s="13" t="s">
        <v>71</v>
      </c>
      <c r="E668" s="3" t="s">
        <v>658</v>
      </c>
    </row>
    <row r="669" spans="1:5" hidden="1" x14ac:dyDescent="0.3">
      <c r="A669" s="2">
        <v>667</v>
      </c>
      <c r="B669" s="2" t="s">
        <v>698</v>
      </c>
      <c r="C669" s="2" t="s">
        <v>108</v>
      </c>
      <c r="D669" s="13" t="s">
        <v>71</v>
      </c>
      <c r="E669" s="3" t="s">
        <v>658</v>
      </c>
    </row>
    <row r="670" spans="1:5" hidden="1" x14ac:dyDescent="0.3">
      <c r="A670" s="2">
        <v>668</v>
      </c>
      <c r="B670" s="2" t="s">
        <v>699</v>
      </c>
      <c r="C670" s="2" t="s">
        <v>108</v>
      </c>
      <c r="D670" s="13" t="s">
        <v>71</v>
      </c>
      <c r="E670" s="3" t="s">
        <v>658</v>
      </c>
    </row>
    <row r="671" spans="1:5" hidden="1" x14ac:dyDescent="0.3">
      <c r="A671" s="2">
        <v>669</v>
      </c>
      <c r="B671" s="2" t="s">
        <v>700</v>
      </c>
      <c r="C671" s="2" t="s">
        <v>4</v>
      </c>
      <c r="D671" s="13" t="s">
        <v>71</v>
      </c>
      <c r="E671" s="3" t="s">
        <v>658</v>
      </c>
    </row>
    <row r="672" spans="1:5" hidden="1" x14ac:dyDescent="0.3">
      <c r="A672" s="2">
        <v>670</v>
      </c>
      <c r="B672" s="2" t="s">
        <v>701</v>
      </c>
      <c r="C672" s="2" t="s">
        <v>4</v>
      </c>
      <c r="D672" s="13" t="s">
        <v>71</v>
      </c>
      <c r="E672" s="3" t="s">
        <v>658</v>
      </c>
    </row>
    <row r="673" spans="1:5" hidden="1" x14ac:dyDescent="0.3">
      <c r="A673" s="2">
        <v>671</v>
      </c>
      <c r="B673" s="2" t="s">
        <v>702</v>
      </c>
      <c r="C673" s="2" t="s">
        <v>4</v>
      </c>
      <c r="D673" s="13" t="s">
        <v>71</v>
      </c>
      <c r="E673" s="3" t="s">
        <v>658</v>
      </c>
    </row>
    <row r="674" spans="1:5" hidden="1" x14ac:dyDescent="0.3">
      <c r="A674" s="2">
        <v>672</v>
      </c>
      <c r="B674" s="2" t="s">
        <v>703</v>
      </c>
      <c r="C674" s="2" t="s">
        <v>4</v>
      </c>
      <c r="D674" s="13" t="s">
        <v>71</v>
      </c>
      <c r="E674" s="3" t="s">
        <v>658</v>
      </c>
    </row>
    <row r="675" spans="1:5" hidden="1" x14ac:dyDescent="0.3">
      <c r="A675" s="2">
        <v>673</v>
      </c>
      <c r="B675" s="2" t="s">
        <v>610</v>
      </c>
      <c r="C675" s="2" t="s">
        <v>4</v>
      </c>
      <c r="D675" s="13" t="s">
        <v>387</v>
      </c>
      <c r="E675" s="3" t="s">
        <v>658</v>
      </c>
    </row>
    <row r="676" spans="1:5" hidden="1" x14ac:dyDescent="0.3">
      <c r="A676" s="2">
        <v>674</v>
      </c>
      <c r="B676" s="2" t="s">
        <v>611</v>
      </c>
      <c r="C676" s="2" t="s">
        <v>4</v>
      </c>
      <c r="D676" s="13" t="s">
        <v>387</v>
      </c>
      <c r="E676" s="3" t="s">
        <v>658</v>
      </c>
    </row>
    <row r="677" spans="1:5" hidden="1" x14ac:dyDescent="0.3">
      <c r="A677" s="2">
        <v>675</v>
      </c>
      <c r="B677" s="2" t="s">
        <v>704</v>
      </c>
      <c r="C677" s="2" t="s">
        <v>4</v>
      </c>
      <c r="D677" s="13" t="s">
        <v>387</v>
      </c>
      <c r="E677" s="3" t="s">
        <v>658</v>
      </c>
    </row>
    <row r="678" spans="1:5" hidden="1" x14ac:dyDescent="0.3">
      <c r="A678" s="2">
        <v>676</v>
      </c>
      <c r="B678" s="2" t="s">
        <v>654</v>
      </c>
      <c r="C678" s="2" t="s">
        <v>4</v>
      </c>
      <c r="D678" s="13" t="s">
        <v>387</v>
      </c>
      <c r="E678" s="3" t="s">
        <v>658</v>
      </c>
    </row>
    <row r="679" spans="1:5" hidden="1" x14ac:dyDescent="0.3">
      <c r="A679" s="2">
        <v>677</v>
      </c>
      <c r="B679" s="2" t="s">
        <v>653</v>
      </c>
      <c r="C679" s="2" t="s">
        <v>4</v>
      </c>
      <c r="D679" s="13" t="s">
        <v>387</v>
      </c>
      <c r="E679" s="3" t="s">
        <v>658</v>
      </c>
    </row>
    <row r="680" spans="1:5" hidden="1" x14ac:dyDescent="0.3">
      <c r="A680" s="2">
        <v>678</v>
      </c>
      <c r="B680" s="2" t="s">
        <v>612</v>
      </c>
      <c r="C680" s="2" t="s">
        <v>4</v>
      </c>
      <c r="D680" s="13" t="s">
        <v>387</v>
      </c>
      <c r="E680" s="3" t="s">
        <v>658</v>
      </c>
    </row>
    <row r="681" spans="1:5" hidden="1" x14ac:dyDescent="0.3">
      <c r="A681" s="2">
        <v>679</v>
      </c>
      <c r="B681" s="2" t="s">
        <v>613</v>
      </c>
      <c r="C681" s="2" t="s">
        <v>4</v>
      </c>
      <c r="D681" s="13" t="s">
        <v>387</v>
      </c>
      <c r="E681" s="3" t="s">
        <v>658</v>
      </c>
    </row>
    <row r="682" spans="1:5" hidden="1" x14ac:dyDescent="0.3">
      <c r="A682" s="2">
        <v>680</v>
      </c>
      <c r="B682" s="2" t="s">
        <v>705</v>
      </c>
      <c r="C682" s="2" t="s">
        <v>4</v>
      </c>
      <c r="D682" s="13" t="s">
        <v>387</v>
      </c>
      <c r="E682" s="3" t="s">
        <v>658</v>
      </c>
    </row>
    <row r="683" spans="1:5" hidden="1" x14ac:dyDescent="0.3">
      <c r="A683" s="2">
        <v>681</v>
      </c>
      <c r="B683" s="2" t="s">
        <v>315</v>
      </c>
      <c r="C683" s="2" t="s">
        <v>4</v>
      </c>
      <c r="D683" s="13" t="s">
        <v>387</v>
      </c>
      <c r="E683" s="3" t="s">
        <v>658</v>
      </c>
    </row>
    <row r="684" spans="1:5" hidden="1" x14ac:dyDescent="0.3">
      <c r="A684" s="2">
        <v>682</v>
      </c>
      <c r="B684" s="2" t="s">
        <v>706</v>
      </c>
      <c r="C684" s="2" t="s">
        <v>4</v>
      </c>
      <c r="D684" s="13" t="s">
        <v>387</v>
      </c>
      <c r="E684" s="3" t="s">
        <v>658</v>
      </c>
    </row>
    <row r="685" spans="1:5" hidden="1" x14ac:dyDescent="0.3">
      <c r="A685" s="2">
        <v>683</v>
      </c>
      <c r="B685" s="2" t="s">
        <v>707</v>
      </c>
      <c r="C685" s="2" t="s">
        <v>4</v>
      </c>
      <c r="D685" s="13" t="s">
        <v>387</v>
      </c>
      <c r="E685" s="3" t="s">
        <v>658</v>
      </c>
    </row>
    <row r="686" spans="1:5" hidden="1" x14ac:dyDescent="0.3">
      <c r="A686" s="2">
        <v>684</v>
      </c>
      <c r="B686" s="2" t="s">
        <v>615</v>
      </c>
      <c r="C686" s="2" t="s">
        <v>4</v>
      </c>
      <c r="D686" s="13" t="s">
        <v>387</v>
      </c>
      <c r="E686" s="3" t="s">
        <v>658</v>
      </c>
    </row>
    <row r="687" spans="1:5" hidden="1" x14ac:dyDescent="0.3">
      <c r="A687" s="2">
        <v>685</v>
      </c>
      <c r="B687" s="2" t="s">
        <v>708</v>
      </c>
      <c r="C687" s="2" t="s">
        <v>4</v>
      </c>
      <c r="D687" s="13" t="s">
        <v>387</v>
      </c>
      <c r="E687" s="3" t="s">
        <v>658</v>
      </c>
    </row>
    <row r="688" spans="1:5" hidden="1" x14ac:dyDescent="0.3">
      <c r="A688" s="2">
        <v>686</v>
      </c>
      <c r="B688" s="2" t="s">
        <v>709</v>
      </c>
      <c r="C688" s="2" t="s">
        <v>4</v>
      </c>
      <c r="D688" s="13" t="s">
        <v>387</v>
      </c>
      <c r="E688" s="3" t="s">
        <v>658</v>
      </c>
    </row>
    <row r="689" spans="1:5" hidden="1" x14ac:dyDescent="0.3">
      <c r="A689" s="2">
        <v>687</v>
      </c>
      <c r="B689" s="2" t="s">
        <v>710</v>
      </c>
      <c r="C689" s="2" t="s">
        <v>4</v>
      </c>
      <c r="D689" s="13" t="s">
        <v>387</v>
      </c>
      <c r="E689" s="3" t="s">
        <v>658</v>
      </c>
    </row>
    <row r="690" spans="1:5" hidden="1" x14ac:dyDescent="0.3">
      <c r="A690" s="2">
        <v>688</v>
      </c>
      <c r="B690" s="2" t="s">
        <v>711</v>
      </c>
      <c r="C690" s="2" t="s">
        <v>4</v>
      </c>
      <c r="D690" s="13" t="s">
        <v>387</v>
      </c>
      <c r="E690" s="3" t="s">
        <v>658</v>
      </c>
    </row>
    <row r="691" spans="1:5" hidden="1" x14ac:dyDescent="0.3">
      <c r="A691" s="2">
        <v>689</v>
      </c>
      <c r="B691" s="2" t="s">
        <v>712</v>
      </c>
      <c r="C691" s="2" t="s">
        <v>4</v>
      </c>
      <c r="D691" s="13" t="s">
        <v>387</v>
      </c>
      <c r="E691" s="3" t="s">
        <v>658</v>
      </c>
    </row>
    <row r="692" spans="1:5" hidden="1" x14ac:dyDescent="0.3">
      <c r="A692" s="2">
        <v>690</v>
      </c>
      <c r="B692" s="2" t="s">
        <v>713</v>
      </c>
      <c r="C692" s="2" t="s">
        <v>4</v>
      </c>
      <c r="D692" s="13" t="s">
        <v>387</v>
      </c>
      <c r="E692" s="3" t="s">
        <v>658</v>
      </c>
    </row>
    <row r="693" spans="1:5" hidden="1" x14ac:dyDescent="0.3">
      <c r="A693" s="2">
        <v>691</v>
      </c>
      <c r="B693" s="2" t="s">
        <v>714</v>
      </c>
      <c r="C693" s="2" t="s">
        <v>4</v>
      </c>
      <c r="D693" s="13" t="s">
        <v>387</v>
      </c>
      <c r="E693" s="3" t="s">
        <v>658</v>
      </c>
    </row>
    <row r="694" spans="1:5" hidden="1" x14ac:dyDescent="0.3">
      <c r="A694" s="2">
        <v>692</v>
      </c>
      <c r="B694" s="2" t="s">
        <v>715</v>
      </c>
      <c r="C694" s="2" t="s">
        <v>108</v>
      </c>
      <c r="D694" s="13" t="s">
        <v>387</v>
      </c>
      <c r="E694" s="3" t="s">
        <v>658</v>
      </c>
    </row>
    <row r="695" spans="1:5" hidden="1" x14ac:dyDescent="0.3">
      <c r="A695" s="2">
        <v>693</v>
      </c>
      <c r="B695" s="2" t="s">
        <v>716</v>
      </c>
      <c r="C695" s="2" t="s">
        <v>4</v>
      </c>
      <c r="D695" s="13" t="s">
        <v>387</v>
      </c>
      <c r="E695" s="3" t="s">
        <v>658</v>
      </c>
    </row>
    <row r="696" spans="1:5" hidden="1" x14ac:dyDescent="0.3">
      <c r="A696" s="2">
        <v>694</v>
      </c>
      <c r="B696" s="2" t="s">
        <v>717</v>
      </c>
      <c r="C696" s="2" t="s">
        <v>4</v>
      </c>
      <c r="D696" s="13" t="s">
        <v>387</v>
      </c>
      <c r="E696" s="3" t="s">
        <v>658</v>
      </c>
    </row>
    <row r="697" spans="1:5" hidden="1" x14ac:dyDescent="0.3">
      <c r="A697" s="2">
        <v>695</v>
      </c>
      <c r="B697" s="2" t="s">
        <v>614</v>
      </c>
      <c r="C697" s="2" t="s">
        <v>4</v>
      </c>
      <c r="D697" s="13" t="s">
        <v>387</v>
      </c>
      <c r="E697" s="3" t="s">
        <v>658</v>
      </c>
    </row>
    <row r="698" spans="1:5" hidden="1" x14ac:dyDescent="0.3">
      <c r="A698" s="2">
        <v>696</v>
      </c>
      <c r="B698" s="2" t="s">
        <v>718</v>
      </c>
      <c r="C698" s="2" t="s">
        <v>108</v>
      </c>
      <c r="D698" s="13" t="s">
        <v>387</v>
      </c>
      <c r="E698" s="3" t="s">
        <v>658</v>
      </c>
    </row>
    <row r="699" spans="1:5" hidden="1" x14ac:dyDescent="0.3">
      <c r="A699" s="2">
        <v>697</v>
      </c>
      <c r="B699" s="2" t="s">
        <v>370</v>
      </c>
      <c r="C699" s="2" t="s">
        <v>108</v>
      </c>
      <c r="D699" s="13" t="s">
        <v>387</v>
      </c>
      <c r="E699" s="3" t="s">
        <v>658</v>
      </c>
    </row>
    <row r="700" spans="1:5" hidden="1" x14ac:dyDescent="0.3">
      <c r="A700" s="2">
        <v>698</v>
      </c>
      <c r="B700" s="2" t="s">
        <v>369</v>
      </c>
      <c r="C700" s="2" t="s">
        <v>108</v>
      </c>
      <c r="D700" s="13" t="s">
        <v>387</v>
      </c>
      <c r="E700" s="3" t="s">
        <v>658</v>
      </c>
    </row>
    <row r="701" spans="1:5" hidden="1" x14ac:dyDescent="0.3">
      <c r="A701" s="2">
        <v>699</v>
      </c>
      <c r="B701" s="2" t="s">
        <v>371</v>
      </c>
      <c r="C701" s="2" t="s">
        <v>108</v>
      </c>
      <c r="D701" s="13" t="s">
        <v>387</v>
      </c>
      <c r="E701" s="3" t="s">
        <v>658</v>
      </c>
    </row>
    <row r="702" spans="1:5" hidden="1" x14ac:dyDescent="0.3">
      <c r="A702" s="2">
        <v>700</v>
      </c>
      <c r="B702" s="2" t="s">
        <v>372</v>
      </c>
      <c r="C702" s="2" t="s">
        <v>108</v>
      </c>
      <c r="D702" s="13" t="s">
        <v>387</v>
      </c>
      <c r="E702" s="3" t="s">
        <v>658</v>
      </c>
    </row>
    <row r="703" spans="1:5" hidden="1" x14ac:dyDescent="0.3">
      <c r="A703" s="2">
        <v>701</v>
      </c>
      <c r="B703" s="2" t="s">
        <v>719</v>
      </c>
      <c r="C703" s="2" t="s">
        <v>4</v>
      </c>
      <c r="D703" s="13" t="s">
        <v>387</v>
      </c>
      <c r="E703" s="3" t="s">
        <v>658</v>
      </c>
    </row>
    <row r="704" spans="1:5" hidden="1" x14ac:dyDescent="0.3">
      <c r="A704" s="2">
        <v>702</v>
      </c>
      <c r="B704" s="2" t="s">
        <v>354</v>
      </c>
      <c r="C704" s="2" t="s">
        <v>108</v>
      </c>
      <c r="D704" s="13" t="s">
        <v>387</v>
      </c>
      <c r="E704" s="3" t="s">
        <v>658</v>
      </c>
    </row>
    <row r="705" spans="1:5" hidden="1" x14ac:dyDescent="0.3">
      <c r="A705" s="2">
        <v>703</v>
      </c>
      <c r="B705" s="2" t="s">
        <v>383</v>
      </c>
      <c r="C705" s="2" t="s">
        <v>108</v>
      </c>
      <c r="D705" s="13" t="s">
        <v>387</v>
      </c>
      <c r="E705" s="3" t="s">
        <v>658</v>
      </c>
    </row>
    <row r="706" spans="1:5" hidden="1" x14ac:dyDescent="0.3">
      <c r="A706" s="2">
        <v>704</v>
      </c>
      <c r="B706" s="2" t="s">
        <v>720</v>
      </c>
      <c r="C706" s="2" t="s">
        <v>4</v>
      </c>
      <c r="D706" s="13" t="s">
        <v>387</v>
      </c>
      <c r="E706" s="3" t="s">
        <v>658</v>
      </c>
    </row>
    <row r="707" spans="1:5" hidden="1" x14ac:dyDescent="0.3">
      <c r="A707" s="2">
        <v>705</v>
      </c>
      <c r="B707" s="2" t="s">
        <v>721</v>
      </c>
      <c r="C707" s="2" t="s">
        <v>4</v>
      </c>
      <c r="D707" s="13" t="s">
        <v>387</v>
      </c>
      <c r="E707" s="3" t="s">
        <v>658</v>
      </c>
    </row>
    <row r="708" spans="1:5" hidden="1" x14ac:dyDescent="0.3">
      <c r="A708" s="2">
        <v>706</v>
      </c>
      <c r="B708" s="2" t="s">
        <v>722</v>
      </c>
      <c r="C708" s="2" t="s">
        <v>108</v>
      </c>
      <c r="D708" s="13" t="s">
        <v>387</v>
      </c>
      <c r="E708" s="3" t="s">
        <v>658</v>
      </c>
    </row>
    <row r="709" spans="1:5" hidden="1" x14ac:dyDescent="0.3">
      <c r="A709" s="2">
        <v>707</v>
      </c>
      <c r="B709" s="2" t="s">
        <v>723</v>
      </c>
      <c r="C709" s="2" t="s">
        <v>108</v>
      </c>
      <c r="D709" s="13" t="s">
        <v>387</v>
      </c>
      <c r="E709" s="3" t="s">
        <v>658</v>
      </c>
    </row>
    <row r="710" spans="1:5" hidden="1" x14ac:dyDescent="0.3">
      <c r="A710" s="2">
        <v>708</v>
      </c>
      <c r="B710" s="2" t="s">
        <v>724</v>
      </c>
      <c r="C710" s="2" t="s">
        <v>4</v>
      </c>
      <c r="D710" s="13" t="s">
        <v>387</v>
      </c>
      <c r="E710" s="3" t="s">
        <v>658</v>
      </c>
    </row>
    <row r="711" spans="1:5" hidden="1" x14ac:dyDescent="0.3">
      <c r="A711" s="2">
        <v>709</v>
      </c>
      <c r="B711" s="2" t="s">
        <v>725</v>
      </c>
      <c r="C711" s="2" t="s">
        <v>4</v>
      </c>
      <c r="D711" s="13" t="s">
        <v>387</v>
      </c>
      <c r="E711" s="3" t="s">
        <v>658</v>
      </c>
    </row>
    <row r="712" spans="1:5" hidden="1" x14ac:dyDescent="0.3">
      <c r="A712" s="2">
        <v>710</v>
      </c>
      <c r="B712" s="2" t="s">
        <v>726</v>
      </c>
      <c r="C712" s="2" t="s">
        <v>4</v>
      </c>
      <c r="D712" s="13" t="s">
        <v>387</v>
      </c>
      <c r="E712" s="3" t="s">
        <v>658</v>
      </c>
    </row>
    <row r="713" spans="1:5" hidden="1" x14ac:dyDescent="0.3">
      <c r="A713" s="2">
        <v>711</v>
      </c>
      <c r="B713" s="2" t="s">
        <v>727</v>
      </c>
      <c r="C713" s="2" t="s">
        <v>4</v>
      </c>
      <c r="D713" s="13" t="s">
        <v>387</v>
      </c>
      <c r="E713" s="3" t="s">
        <v>658</v>
      </c>
    </row>
    <row r="714" spans="1:5" hidden="1" x14ac:dyDescent="0.3">
      <c r="A714" s="2">
        <v>712</v>
      </c>
      <c r="B714" s="2" t="s">
        <v>728</v>
      </c>
      <c r="C714" s="2" t="s">
        <v>4</v>
      </c>
      <c r="D714" s="13" t="s">
        <v>387</v>
      </c>
      <c r="E714" s="3" t="s">
        <v>658</v>
      </c>
    </row>
    <row r="715" spans="1:5" hidden="1" x14ac:dyDescent="0.3">
      <c r="A715" s="2">
        <v>713</v>
      </c>
      <c r="B715" s="2" t="s">
        <v>729</v>
      </c>
      <c r="C715" s="2" t="s">
        <v>4</v>
      </c>
      <c r="D715" s="13" t="s">
        <v>387</v>
      </c>
      <c r="E715" s="3" t="s">
        <v>658</v>
      </c>
    </row>
    <row r="716" spans="1:5" hidden="1" x14ac:dyDescent="0.3">
      <c r="A716" s="2">
        <v>714</v>
      </c>
      <c r="B716" s="2" t="s">
        <v>730</v>
      </c>
      <c r="C716" s="2" t="s">
        <v>4</v>
      </c>
      <c r="D716" s="13" t="s">
        <v>387</v>
      </c>
      <c r="E716" s="3" t="s">
        <v>658</v>
      </c>
    </row>
    <row r="717" spans="1:5" hidden="1" x14ac:dyDescent="0.3">
      <c r="A717" s="2">
        <v>715</v>
      </c>
      <c r="B717" s="2" t="s">
        <v>731</v>
      </c>
      <c r="C717" s="2" t="s">
        <v>4</v>
      </c>
      <c r="D717" s="13" t="s">
        <v>387</v>
      </c>
      <c r="E717" s="3" t="s">
        <v>658</v>
      </c>
    </row>
    <row r="718" spans="1:5" hidden="1" x14ac:dyDescent="0.3">
      <c r="A718" s="2">
        <v>716</v>
      </c>
      <c r="B718" s="2" t="s">
        <v>732</v>
      </c>
      <c r="C718" s="2" t="s">
        <v>4</v>
      </c>
      <c r="D718" s="13" t="s">
        <v>387</v>
      </c>
      <c r="E718" s="3" t="s">
        <v>658</v>
      </c>
    </row>
    <row r="719" spans="1:5" hidden="1" x14ac:dyDescent="0.3">
      <c r="A719" s="2">
        <v>717</v>
      </c>
      <c r="B719" s="2" t="s">
        <v>733</v>
      </c>
      <c r="C719" s="2" t="s">
        <v>4</v>
      </c>
      <c r="D719" s="13" t="s">
        <v>387</v>
      </c>
      <c r="E719" s="3" t="s">
        <v>658</v>
      </c>
    </row>
    <row r="720" spans="1:5" hidden="1" x14ac:dyDescent="0.3">
      <c r="A720" s="2">
        <v>718</v>
      </c>
      <c r="B720" s="2" t="s">
        <v>734</v>
      </c>
      <c r="C720" s="2" t="s">
        <v>4</v>
      </c>
      <c r="D720" s="13" t="s">
        <v>387</v>
      </c>
      <c r="E720" s="3" t="s">
        <v>658</v>
      </c>
    </row>
    <row r="721" spans="1:5" hidden="1" x14ac:dyDescent="0.3">
      <c r="A721" s="2">
        <v>719</v>
      </c>
      <c r="B721" s="2" t="s">
        <v>735</v>
      </c>
      <c r="C721" s="2" t="s">
        <v>108</v>
      </c>
      <c r="D721" s="13" t="s">
        <v>387</v>
      </c>
      <c r="E721" s="3" t="s">
        <v>658</v>
      </c>
    </row>
    <row r="722" spans="1:5" hidden="1" x14ac:dyDescent="0.3">
      <c r="A722" s="2">
        <v>720</v>
      </c>
      <c r="B722" s="2" t="s">
        <v>736</v>
      </c>
      <c r="C722" s="2" t="s">
        <v>108</v>
      </c>
      <c r="D722" s="13" t="s">
        <v>387</v>
      </c>
      <c r="E722" s="3" t="s">
        <v>658</v>
      </c>
    </row>
    <row r="723" spans="1:5" hidden="1" x14ac:dyDescent="0.3">
      <c r="A723" s="2">
        <v>721</v>
      </c>
      <c r="B723" s="2" t="s">
        <v>737</v>
      </c>
      <c r="C723" s="2" t="s">
        <v>108</v>
      </c>
      <c r="D723" s="13" t="s">
        <v>387</v>
      </c>
      <c r="E723" s="3" t="s">
        <v>658</v>
      </c>
    </row>
    <row r="724" spans="1:5" hidden="1" x14ac:dyDescent="0.3">
      <c r="A724" s="2">
        <v>722</v>
      </c>
      <c r="B724" s="2" t="s">
        <v>738</v>
      </c>
      <c r="C724" s="2" t="s">
        <v>108</v>
      </c>
      <c r="D724" s="13" t="s">
        <v>387</v>
      </c>
      <c r="E724" s="3" t="s">
        <v>658</v>
      </c>
    </row>
    <row r="725" spans="1:5" hidden="1" x14ac:dyDescent="0.3">
      <c r="A725" s="2">
        <v>723</v>
      </c>
      <c r="B725" s="2" t="s">
        <v>739</v>
      </c>
      <c r="C725" s="2" t="s">
        <v>108</v>
      </c>
      <c r="D725" s="13" t="s">
        <v>387</v>
      </c>
      <c r="E725" s="3" t="s">
        <v>658</v>
      </c>
    </row>
    <row r="726" spans="1:5" hidden="1" x14ac:dyDescent="0.3">
      <c r="A726" s="2">
        <v>724</v>
      </c>
      <c r="B726" s="2" t="s">
        <v>740</v>
      </c>
      <c r="C726" s="2" t="s">
        <v>4</v>
      </c>
      <c r="D726" s="13" t="s">
        <v>387</v>
      </c>
      <c r="E726" s="3" t="s">
        <v>658</v>
      </c>
    </row>
    <row r="727" spans="1:5" hidden="1" x14ac:dyDescent="0.3">
      <c r="A727" s="2">
        <v>725</v>
      </c>
      <c r="B727" s="2" t="s">
        <v>741</v>
      </c>
      <c r="C727" s="2" t="s">
        <v>108</v>
      </c>
      <c r="D727" s="13" t="s">
        <v>387</v>
      </c>
      <c r="E727" s="3" t="s">
        <v>658</v>
      </c>
    </row>
    <row r="728" spans="1:5" hidden="1" x14ac:dyDescent="0.3">
      <c r="A728" s="2">
        <v>726</v>
      </c>
      <c r="B728" s="2" t="s">
        <v>376</v>
      </c>
      <c r="C728" s="2" t="s">
        <v>108</v>
      </c>
      <c r="D728" s="13" t="s">
        <v>387</v>
      </c>
      <c r="E728" s="3" t="s">
        <v>658</v>
      </c>
    </row>
    <row r="729" spans="1:5" hidden="1" x14ac:dyDescent="0.3">
      <c r="A729" s="2">
        <v>727</v>
      </c>
      <c r="B729" s="2" t="s">
        <v>380</v>
      </c>
      <c r="C729" s="2" t="s">
        <v>108</v>
      </c>
      <c r="D729" s="13" t="s">
        <v>387</v>
      </c>
      <c r="E729" s="3" t="s">
        <v>658</v>
      </c>
    </row>
    <row r="730" spans="1:5" hidden="1" x14ac:dyDescent="0.3">
      <c r="A730" s="2">
        <v>728</v>
      </c>
      <c r="B730" s="2" t="s">
        <v>742</v>
      </c>
      <c r="C730" s="2" t="s">
        <v>108</v>
      </c>
      <c r="D730" s="13" t="s">
        <v>387</v>
      </c>
      <c r="E730" s="3" t="s">
        <v>658</v>
      </c>
    </row>
    <row r="731" spans="1:5" hidden="1" x14ac:dyDescent="0.3">
      <c r="A731" s="2">
        <v>729</v>
      </c>
      <c r="B731" s="2" t="s">
        <v>365</v>
      </c>
      <c r="C731" s="2" t="s">
        <v>108</v>
      </c>
      <c r="D731" s="13" t="s">
        <v>387</v>
      </c>
      <c r="E731" s="3" t="s">
        <v>658</v>
      </c>
    </row>
    <row r="732" spans="1:5" hidden="1" x14ac:dyDescent="0.3">
      <c r="A732" s="2">
        <v>730</v>
      </c>
      <c r="B732" s="2" t="s">
        <v>366</v>
      </c>
      <c r="C732" s="2" t="s">
        <v>108</v>
      </c>
      <c r="D732" s="13" t="s">
        <v>387</v>
      </c>
      <c r="E732" s="3" t="s">
        <v>658</v>
      </c>
    </row>
    <row r="733" spans="1:5" hidden="1" x14ac:dyDescent="0.3">
      <c r="A733" s="2">
        <v>731</v>
      </c>
      <c r="B733" s="2" t="s">
        <v>368</v>
      </c>
      <c r="C733" s="2" t="s">
        <v>108</v>
      </c>
      <c r="D733" s="13" t="s">
        <v>387</v>
      </c>
      <c r="E733" s="3" t="s">
        <v>658</v>
      </c>
    </row>
    <row r="734" spans="1:5" hidden="1" x14ac:dyDescent="0.3">
      <c r="A734" s="2">
        <v>732</v>
      </c>
      <c r="B734" s="2" t="s">
        <v>351</v>
      </c>
      <c r="C734" s="2" t="s">
        <v>108</v>
      </c>
      <c r="D734" s="13" t="s">
        <v>387</v>
      </c>
      <c r="E734" s="3" t="s">
        <v>658</v>
      </c>
    </row>
    <row r="735" spans="1:5" hidden="1" x14ac:dyDescent="0.3">
      <c r="A735" s="2">
        <v>733</v>
      </c>
      <c r="B735" s="2" t="s">
        <v>382</v>
      </c>
      <c r="C735" s="2" t="s">
        <v>108</v>
      </c>
      <c r="D735" s="13" t="s">
        <v>387</v>
      </c>
      <c r="E735" s="3" t="s">
        <v>658</v>
      </c>
    </row>
    <row r="736" spans="1:5" hidden="1" x14ac:dyDescent="0.3">
      <c r="A736" s="2">
        <v>734</v>
      </c>
      <c r="B736" s="2" t="s">
        <v>373</v>
      </c>
      <c r="C736" s="2" t="s">
        <v>108</v>
      </c>
      <c r="D736" s="13" t="s">
        <v>387</v>
      </c>
      <c r="E736" s="3" t="s">
        <v>658</v>
      </c>
    </row>
    <row r="737" spans="1:5" hidden="1" x14ac:dyDescent="0.3">
      <c r="A737" s="2">
        <v>735</v>
      </c>
      <c r="B737" s="2" t="s">
        <v>375</v>
      </c>
      <c r="C737" s="2" t="s">
        <v>108</v>
      </c>
      <c r="D737" s="13" t="s">
        <v>387</v>
      </c>
      <c r="E737" s="3" t="s">
        <v>658</v>
      </c>
    </row>
    <row r="738" spans="1:5" hidden="1" x14ac:dyDescent="0.3">
      <c r="A738" s="2">
        <v>736</v>
      </c>
      <c r="B738" s="2" t="s">
        <v>374</v>
      </c>
      <c r="C738" s="2" t="s">
        <v>108</v>
      </c>
      <c r="D738" s="13" t="s">
        <v>387</v>
      </c>
      <c r="E738" s="3" t="s">
        <v>658</v>
      </c>
    </row>
    <row r="739" spans="1:5" hidden="1" x14ac:dyDescent="0.3">
      <c r="A739" s="2">
        <v>737</v>
      </c>
      <c r="B739" s="2" t="s">
        <v>378</v>
      </c>
      <c r="C739" s="2" t="s">
        <v>108</v>
      </c>
      <c r="D739" s="13" t="s">
        <v>387</v>
      </c>
      <c r="E739" s="3" t="s">
        <v>658</v>
      </c>
    </row>
    <row r="740" spans="1:5" hidden="1" x14ac:dyDescent="0.3">
      <c r="A740" s="2">
        <v>738</v>
      </c>
      <c r="B740" s="2" t="s">
        <v>379</v>
      </c>
      <c r="C740" s="2" t="s">
        <v>108</v>
      </c>
      <c r="D740" s="13" t="s">
        <v>387</v>
      </c>
      <c r="E740" s="3" t="s">
        <v>658</v>
      </c>
    </row>
    <row r="741" spans="1:5" hidden="1" x14ac:dyDescent="0.3">
      <c r="A741" s="2">
        <v>739</v>
      </c>
      <c r="B741" s="2" t="s">
        <v>346</v>
      </c>
      <c r="C741" s="2" t="s">
        <v>108</v>
      </c>
      <c r="D741" s="13" t="s">
        <v>387</v>
      </c>
      <c r="E741" s="3" t="s">
        <v>658</v>
      </c>
    </row>
    <row r="742" spans="1:5" hidden="1" x14ac:dyDescent="0.3">
      <c r="A742" s="2">
        <v>740</v>
      </c>
      <c r="B742" s="2" t="s">
        <v>362</v>
      </c>
      <c r="C742" s="2" t="s">
        <v>108</v>
      </c>
      <c r="D742" s="13" t="s">
        <v>387</v>
      </c>
      <c r="E742" s="3" t="s">
        <v>658</v>
      </c>
    </row>
    <row r="743" spans="1:5" hidden="1" x14ac:dyDescent="0.3">
      <c r="A743" s="2">
        <v>741</v>
      </c>
      <c r="B743" s="2" t="s">
        <v>363</v>
      </c>
      <c r="C743" s="2" t="s">
        <v>108</v>
      </c>
      <c r="D743" s="13" t="s">
        <v>387</v>
      </c>
      <c r="E743" s="3" t="s">
        <v>658</v>
      </c>
    </row>
    <row r="744" spans="1:5" hidden="1" x14ac:dyDescent="0.3">
      <c r="A744" s="2">
        <v>742</v>
      </c>
      <c r="B744" s="2" t="s">
        <v>364</v>
      </c>
      <c r="C744" s="2" t="s">
        <v>108</v>
      </c>
      <c r="D744" s="13" t="s">
        <v>387</v>
      </c>
      <c r="E744" s="3" t="s">
        <v>658</v>
      </c>
    </row>
    <row r="745" spans="1:5" hidden="1" x14ac:dyDescent="0.3">
      <c r="A745" s="2">
        <v>743</v>
      </c>
      <c r="B745" s="2" t="s">
        <v>743</v>
      </c>
      <c r="C745" s="2" t="s">
        <v>108</v>
      </c>
      <c r="D745" s="13" t="s">
        <v>387</v>
      </c>
      <c r="E745" s="3" t="s">
        <v>658</v>
      </c>
    </row>
    <row r="746" spans="1:5" hidden="1" x14ac:dyDescent="0.3">
      <c r="A746" s="2">
        <v>744</v>
      </c>
      <c r="B746" s="2" t="s">
        <v>357</v>
      </c>
      <c r="C746" s="2" t="s">
        <v>108</v>
      </c>
      <c r="D746" s="13" t="s">
        <v>387</v>
      </c>
      <c r="E746" s="3" t="s">
        <v>658</v>
      </c>
    </row>
    <row r="747" spans="1:5" hidden="1" x14ac:dyDescent="0.3">
      <c r="A747" s="2">
        <v>745</v>
      </c>
      <c r="B747" s="2" t="s">
        <v>358</v>
      </c>
      <c r="C747" s="2" t="s">
        <v>108</v>
      </c>
      <c r="D747" s="13" t="s">
        <v>387</v>
      </c>
      <c r="E747" s="3" t="s">
        <v>658</v>
      </c>
    </row>
    <row r="748" spans="1:5" hidden="1" x14ac:dyDescent="0.3">
      <c r="A748" s="2">
        <v>746</v>
      </c>
      <c r="B748" s="2" t="s">
        <v>359</v>
      </c>
      <c r="C748" s="2" t="s">
        <v>108</v>
      </c>
      <c r="D748" s="13" t="s">
        <v>387</v>
      </c>
      <c r="E748" s="3" t="s">
        <v>658</v>
      </c>
    </row>
    <row r="749" spans="1:5" x14ac:dyDescent="0.3">
      <c r="A749" s="2">
        <v>747</v>
      </c>
      <c r="B749" s="2" t="s">
        <v>604</v>
      </c>
      <c r="C749" s="2" t="s">
        <v>4</v>
      </c>
      <c r="D749" s="13" t="s">
        <v>300</v>
      </c>
      <c r="E749" s="3" t="s">
        <v>658</v>
      </c>
    </row>
    <row r="750" spans="1:5" x14ac:dyDescent="0.3">
      <c r="A750" s="2">
        <v>748</v>
      </c>
      <c r="B750" s="2" t="s">
        <v>605</v>
      </c>
      <c r="C750" s="2" t="s">
        <v>4</v>
      </c>
      <c r="D750" s="13" t="s">
        <v>300</v>
      </c>
      <c r="E750" s="3" t="s">
        <v>658</v>
      </c>
    </row>
    <row r="751" spans="1:5" x14ac:dyDescent="0.3">
      <c r="A751" s="2">
        <v>749</v>
      </c>
      <c r="B751" s="2" t="s">
        <v>606</v>
      </c>
      <c r="C751" s="2" t="s">
        <v>4</v>
      </c>
      <c r="D751" s="13" t="s">
        <v>300</v>
      </c>
      <c r="E751" s="3" t="s">
        <v>658</v>
      </c>
    </row>
    <row r="752" spans="1:5" x14ac:dyDescent="0.3">
      <c r="A752" s="2">
        <v>750</v>
      </c>
      <c r="B752" s="2" t="s">
        <v>744</v>
      </c>
      <c r="C752" s="2" t="s">
        <v>4</v>
      </c>
      <c r="D752" s="13" t="s">
        <v>300</v>
      </c>
      <c r="E752" s="3" t="s">
        <v>658</v>
      </c>
    </row>
    <row r="753" spans="1:5" x14ac:dyDescent="0.3">
      <c r="A753" s="2">
        <v>751</v>
      </c>
      <c r="B753" s="2" t="s">
        <v>607</v>
      </c>
      <c r="C753" s="2" t="s">
        <v>4</v>
      </c>
      <c r="D753" s="13" t="s">
        <v>300</v>
      </c>
      <c r="E753" s="3" t="s">
        <v>658</v>
      </c>
    </row>
    <row r="754" spans="1:5" x14ac:dyDescent="0.3">
      <c r="A754" s="2">
        <v>752</v>
      </c>
      <c r="B754" s="2" t="s">
        <v>241</v>
      </c>
      <c r="C754" s="2" t="s">
        <v>4</v>
      </c>
      <c r="D754" s="13" t="s">
        <v>300</v>
      </c>
      <c r="E754" s="3" t="s">
        <v>658</v>
      </c>
    </row>
    <row r="755" spans="1:5" x14ac:dyDescent="0.3">
      <c r="A755" s="2">
        <v>753</v>
      </c>
      <c r="B755" s="2" t="s">
        <v>215</v>
      </c>
      <c r="C755" s="2" t="s">
        <v>4</v>
      </c>
      <c r="D755" s="13" t="s">
        <v>300</v>
      </c>
      <c r="E755" s="3" t="s">
        <v>658</v>
      </c>
    </row>
    <row r="756" spans="1:5" x14ac:dyDescent="0.3">
      <c r="A756" s="2">
        <v>754</v>
      </c>
      <c r="B756" s="2" t="s">
        <v>216</v>
      </c>
      <c r="C756" s="2" t="s">
        <v>4</v>
      </c>
      <c r="D756" s="13" t="s">
        <v>300</v>
      </c>
      <c r="E756" s="3" t="s">
        <v>658</v>
      </c>
    </row>
    <row r="757" spans="1:5" x14ac:dyDescent="0.3">
      <c r="A757" s="2">
        <v>755</v>
      </c>
      <c r="B757" s="2" t="s">
        <v>220</v>
      </c>
      <c r="C757" s="2" t="s">
        <v>4</v>
      </c>
      <c r="D757" s="13" t="s">
        <v>300</v>
      </c>
      <c r="E757" s="3" t="s">
        <v>658</v>
      </c>
    </row>
    <row r="758" spans="1:5" x14ac:dyDescent="0.3">
      <c r="A758" s="2">
        <v>756</v>
      </c>
      <c r="B758" s="2" t="s">
        <v>745</v>
      </c>
      <c r="C758" s="2" t="s">
        <v>4</v>
      </c>
      <c r="D758" s="13" t="s">
        <v>300</v>
      </c>
      <c r="E758" s="3" t="s">
        <v>658</v>
      </c>
    </row>
    <row r="759" spans="1:5" x14ac:dyDescent="0.3">
      <c r="A759" s="2">
        <v>757</v>
      </c>
      <c r="B759" s="2" t="s">
        <v>242</v>
      </c>
      <c r="C759" s="2" t="s">
        <v>4</v>
      </c>
      <c r="D759" s="13" t="s">
        <v>300</v>
      </c>
      <c r="E759" s="3" t="s">
        <v>658</v>
      </c>
    </row>
    <row r="760" spans="1:5" x14ac:dyDescent="0.3">
      <c r="A760" s="2">
        <v>758</v>
      </c>
      <c r="B760" s="2" t="s">
        <v>746</v>
      </c>
      <c r="C760" s="2" t="s">
        <v>4</v>
      </c>
      <c r="D760" s="13" t="s">
        <v>300</v>
      </c>
      <c r="E760" s="3" t="s">
        <v>658</v>
      </c>
    </row>
    <row r="761" spans="1:5" x14ac:dyDescent="0.3">
      <c r="A761" s="2">
        <v>759</v>
      </c>
      <c r="B761" s="2" t="s">
        <v>651</v>
      </c>
      <c r="C761" s="2" t="s">
        <v>4</v>
      </c>
      <c r="D761" s="13" t="s">
        <v>300</v>
      </c>
      <c r="E761" s="3" t="s">
        <v>658</v>
      </c>
    </row>
    <row r="762" spans="1:5" x14ac:dyDescent="0.3">
      <c r="A762" s="2">
        <v>760</v>
      </c>
      <c r="B762" s="2" t="s">
        <v>747</v>
      </c>
      <c r="C762" s="2" t="s">
        <v>4</v>
      </c>
      <c r="D762" s="13" t="s">
        <v>300</v>
      </c>
      <c r="E762" s="3" t="s">
        <v>658</v>
      </c>
    </row>
    <row r="763" spans="1:5" x14ac:dyDescent="0.3">
      <c r="A763" s="2">
        <v>761</v>
      </c>
      <c r="B763" s="2" t="s">
        <v>608</v>
      </c>
      <c r="C763" s="2" t="s">
        <v>4</v>
      </c>
      <c r="D763" s="13" t="s">
        <v>300</v>
      </c>
      <c r="E763" s="3" t="s">
        <v>658</v>
      </c>
    </row>
    <row r="764" spans="1:5" x14ac:dyDescent="0.3">
      <c r="A764" s="2">
        <v>762</v>
      </c>
      <c r="B764" s="2" t="s">
        <v>609</v>
      </c>
      <c r="C764" s="2" t="s">
        <v>4</v>
      </c>
      <c r="D764" s="13" t="s">
        <v>300</v>
      </c>
      <c r="E764" s="3" t="s">
        <v>658</v>
      </c>
    </row>
    <row r="765" spans="1:5" x14ac:dyDescent="0.3">
      <c r="A765" s="2">
        <v>763</v>
      </c>
      <c r="B765" s="2" t="s">
        <v>748</v>
      </c>
      <c r="C765" s="2" t="s">
        <v>4</v>
      </c>
      <c r="D765" s="13" t="s">
        <v>300</v>
      </c>
      <c r="E765" s="3" t="s">
        <v>658</v>
      </c>
    </row>
    <row r="766" spans="1:5" x14ac:dyDescent="0.3">
      <c r="A766" s="2">
        <v>764</v>
      </c>
      <c r="B766" s="2" t="s">
        <v>749</v>
      </c>
      <c r="C766" s="2" t="s">
        <v>4</v>
      </c>
      <c r="D766" s="13" t="s">
        <v>300</v>
      </c>
      <c r="E766" s="3" t="s">
        <v>658</v>
      </c>
    </row>
    <row r="767" spans="1:5" x14ac:dyDescent="0.3">
      <c r="A767" s="2">
        <v>765</v>
      </c>
      <c r="B767" s="2" t="s">
        <v>750</v>
      </c>
      <c r="C767" s="2" t="s">
        <v>4</v>
      </c>
      <c r="D767" s="13" t="s">
        <v>300</v>
      </c>
      <c r="E767" s="3" t="s">
        <v>658</v>
      </c>
    </row>
    <row r="768" spans="1:5" x14ac:dyDescent="0.3">
      <c r="A768" s="2">
        <v>766</v>
      </c>
      <c r="B768" s="2" t="s">
        <v>751</v>
      </c>
      <c r="C768" s="2" t="s">
        <v>4</v>
      </c>
      <c r="D768" s="13" t="s">
        <v>300</v>
      </c>
      <c r="E768" s="3" t="s">
        <v>658</v>
      </c>
    </row>
    <row r="769" spans="1:5" x14ac:dyDescent="0.3">
      <c r="A769" s="2">
        <v>767</v>
      </c>
      <c r="B769" s="2" t="s">
        <v>752</v>
      </c>
      <c r="C769" s="2" t="s">
        <v>108</v>
      </c>
      <c r="D769" s="13" t="s">
        <v>300</v>
      </c>
      <c r="E769" s="3" t="s">
        <v>658</v>
      </c>
    </row>
    <row r="770" spans="1:5" x14ac:dyDescent="0.3">
      <c r="A770" s="2">
        <v>768</v>
      </c>
      <c r="B770" s="2" t="s">
        <v>753</v>
      </c>
      <c r="C770" s="2" t="s">
        <v>108</v>
      </c>
      <c r="D770" s="13" t="s">
        <v>300</v>
      </c>
      <c r="E770" s="3" t="s">
        <v>658</v>
      </c>
    </row>
    <row r="771" spans="1:5" x14ac:dyDescent="0.3">
      <c r="A771" s="2">
        <v>769</v>
      </c>
      <c r="B771" s="2" t="s">
        <v>754</v>
      </c>
      <c r="C771" s="2" t="s">
        <v>4</v>
      </c>
      <c r="D771" s="13" t="s">
        <v>300</v>
      </c>
      <c r="E771" s="3" t="s">
        <v>658</v>
      </c>
    </row>
    <row r="772" spans="1:5" x14ac:dyDescent="0.3">
      <c r="A772" s="2">
        <v>770</v>
      </c>
      <c r="B772" s="2" t="s">
        <v>755</v>
      </c>
      <c r="C772" s="2" t="s">
        <v>4</v>
      </c>
      <c r="D772" s="13" t="s">
        <v>300</v>
      </c>
      <c r="E772" s="3" t="s">
        <v>658</v>
      </c>
    </row>
    <row r="773" spans="1:5" x14ac:dyDescent="0.3">
      <c r="A773" s="2">
        <v>771</v>
      </c>
      <c r="B773" s="2" t="s">
        <v>756</v>
      </c>
      <c r="C773" s="2" t="s">
        <v>4</v>
      </c>
      <c r="D773" s="13" t="s">
        <v>300</v>
      </c>
      <c r="E773" s="3" t="s">
        <v>658</v>
      </c>
    </row>
    <row r="774" spans="1:5" x14ac:dyDescent="0.3">
      <c r="A774" s="2">
        <v>772</v>
      </c>
      <c r="B774" s="2" t="s">
        <v>652</v>
      </c>
      <c r="C774" s="2" t="s">
        <v>4</v>
      </c>
      <c r="D774" s="13" t="s">
        <v>300</v>
      </c>
      <c r="E774" s="3" t="s">
        <v>658</v>
      </c>
    </row>
    <row r="775" spans="1:5" x14ac:dyDescent="0.3">
      <c r="A775" s="2">
        <v>773</v>
      </c>
      <c r="B775" s="2" t="s">
        <v>757</v>
      </c>
      <c r="C775" s="2" t="s">
        <v>108</v>
      </c>
      <c r="D775" s="13" t="s">
        <v>300</v>
      </c>
      <c r="E775" s="3" t="s">
        <v>658</v>
      </c>
    </row>
    <row r="776" spans="1:5" x14ac:dyDescent="0.3">
      <c r="A776" s="2">
        <v>774</v>
      </c>
      <c r="B776" s="2" t="s">
        <v>240</v>
      </c>
      <c r="C776" s="2" t="s">
        <v>4</v>
      </c>
      <c r="D776" s="13" t="s">
        <v>300</v>
      </c>
      <c r="E776" s="3" t="s">
        <v>658</v>
      </c>
    </row>
    <row r="777" spans="1:5" x14ac:dyDescent="0.3">
      <c r="A777" s="2">
        <v>775</v>
      </c>
      <c r="B777" s="2" t="s">
        <v>239</v>
      </c>
      <c r="C777" s="2" t="s">
        <v>4</v>
      </c>
      <c r="D777" s="13" t="s">
        <v>300</v>
      </c>
      <c r="E777" s="3" t="s">
        <v>658</v>
      </c>
    </row>
    <row r="778" spans="1:5" x14ac:dyDescent="0.3">
      <c r="A778" s="2">
        <v>776</v>
      </c>
      <c r="B778" s="2" t="s">
        <v>238</v>
      </c>
      <c r="C778" s="2" t="s">
        <v>108</v>
      </c>
      <c r="D778" s="13" t="s">
        <v>300</v>
      </c>
      <c r="E778" s="3" t="s">
        <v>658</v>
      </c>
    </row>
    <row r="779" spans="1:5" x14ac:dyDescent="0.3">
      <c r="A779" s="2">
        <v>777</v>
      </c>
      <c r="B779" s="2" t="s">
        <v>237</v>
      </c>
      <c r="C779" s="2" t="s">
        <v>108</v>
      </c>
      <c r="D779" s="13" t="s">
        <v>300</v>
      </c>
      <c r="E779" s="3" t="s">
        <v>658</v>
      </c>
    </row>
    <row r="780" spans="1:5" x14ac:dyDescent="0.3">
      <c r="A780" s="2">
        <v>778</v>
      </c>
      <c r="B780" s="2" t="s">
        <v>758</v>
      </c>
      <c r="C780" s="2" t="s">
        <v>108</v>
      </c>
      <c r="D780" s="13" t="s">
        <v>300</v>
      </c>
      <c r="E780" s="3" t="s">
        <v>658</v>
      </c>
    </row>
    <row r="781" spans="1:5" x14ac:dyDescent="0.3">
      <c r="A781" s="2">
        <v>779</v>
      </c>
      <c r="B781" s="2" t="s">
        <v>759</v>
      </c>
      <c r="C781" s="2" t="s">
        <v>4</v>
      </c>
      <c r="D781" s="13" t="s">
        <v>300</v>
      </c>
      <c r="E781" s="3" t="s">
        <v>658</v>
      </c>
    </row>
    <row r="782" spans="1:5" x14ac:dyDescent="0.3">
      <c r="A782" s="2">
        <v>780</v>
      </c>
      <c r="B782" s="2" t="s">
        <v>760</v>
      </c>
      <c r="C782" s="2" t="s">
        <v>108</v>
      </c>
      <c r="D782" s="13" t="s">
        <v>300</v>
      </c>
      <c r="E782" s="3" t="s">
        <v>658</v>
      </c>
    </row>
    <row r="783" spans="1:5" x14ac:dyDescent="0.3">
      <c r="A783" s="2">
        <v>781</v>
      </c>
      <c r="B783" s="2" t="s">
        <v>761</v>
      </c>
      <c r="C783" s="2" t="s">
        <v>4</v>
      </c>
      <c r="D783" s="13" t="s">
        <v>300</v>
      </c>
      <c r="E783" s="3" t="s">
        <v>658</v>
      </c>
    </row>
    <row r="784" spans="1:5" x14ac:dyDescent="0.3">
      <c r="A784" s="2">
        <v>782</v>
      </c>
      <c r="B784" s="2" t="s">
        <v>762</v>
      </c>
      <c r="C784" s="2" t="s">
        <v>4</v>
      </c>
      <c r="D784" s="13" t="s">
        <v>300</v>
      </c>
      <c r="E784" s="3" t="s">
        <v>658</v>
      </c>
    </row>
    <row r="785" spans="1:5" x14ac:dyDescent="0.3">
      <c r="A785" s="2">
        <v>783</v>
      </c>
      <c r="B785" s="2" t="s">
        <v>763</v>
      </c>
      <c r="C785" s="2" t="s">
        <v>4</v>
      </c>
      <c r="D785" s="13" t="s">
        <v>300</v>
      </c>
      <c r="E785" s="3" t="s">
        <v>658</v>
      </c>
    </row>
    <row r="786" spans="1:5" x14ac:dyDescent="0.3">
      <c r="A786" s="2">
        <v>784</v>
      </c>
      <c r="B786" s="2" t="s">
        <v>764</v>
      </c>
      <c r="C786" s="2" t="s">
        <v>4</v>
      </c>
      <c r="D786" s="13" t="s">
        <v>300</v>
      </c>
      <c r="E786" s="3" t="s">
        <v>658</v>
      </c>
    </row>
    <row r="787" spans="1:5" x14ac:dyDescent="0.3">
      <c r="A787" s="2">
        <v>785</v>
      </c>
      <c r="B787" s="2" t="s">
        <v>765</v>
      </c>
      <c r="C787" s="2" t="s">
        <v>4</v>
      </c>
      <c r="D787" s="13" t="s">
        <v>300</v>
      </c>
      <c r="E787" s="3" t="s">
        <v>658</v>
      </c>
    </row>
    <row r="788" spans="1:5" x14ac:dyDescent="0.3">
      <c r="A788" s="2">
        <v>786</v>
      </c>
      <c r="B788" s="2" t="s">
        <v>766</v>
      </c>
      <c r="C788" s="2" t="s">
        <v>4</v>
      </c>
      <c r="D788" s="13" t="s">
        <v>300</v>
      </c>
      <c r="E788" s="3" t="s">
        <v>658</v>
      </c>
    </row>
    <row r="789" spans="1:5" x14ac:dyDescent="0.3">
      <c r="A789" s="2">
        <v>787</v>
      </c>
      <c r="B789" s="2" t="s">
        <v>767</v>
      </c>
      <c r="C789" s="2" t="s">
        <v>108</v>
      </c>
      <c r="D789" s="13" t="s">
        <v>300</v>
      </c>
      <c r="E789" s="3" t="s">
        <v>658</v>
      </c>
    </row>
    <row r="790" spans="1:5" x14ac:dyDescent="0.3">
      <c r="A790" s="2">
        <v>788</v>
      </c>
      <c r="B790" s="2" t="s">
        <v>768</v>
      </c>
      <c r="C790" s="2" t="s">
        <v>4</v>
      </c>
      <c r="D790" s="13" t="s">
        <v>300</v>
      </c>
      <c r="E790" s="3" t="s">
        <v>658</v>
      </c>
    </row>
    <row r="791" spans="1:5" x14ac:dyDescent="0.3">
      <c r="A791" s="2">
        <v>789</v>
      </c>
      <c r="B791" s="2" t="s">
        <v>769</v>
      </c>
      <c r="C791" s="2" t="s">
        <v>108</v>
      </c>
      <c r="D791" s="13" t="s">
        <v>300</v>
      </c>
      <c r="E791" s="3" t="s">
        <v>658</v>
      </c>
    </row>
    <row r="792" spans="1:5" x14ac:dyDescent="0.3">
      <c r="A792" s="2">
        <v>790</v>
      </c>
      <c r="B792" s="2" t="s">
        <v>257</v>
      </c>
      <c r="C792" s="2" t="s">
        <v>108</v>
      </c>
      <c r="D792" s="13" t="s">
        <v>300</v>
      </c>
      <c r="E792" s="3" t="s">
        <v>658</v>
      </c>
    </row>
    <row r="793" spans="1:5" x14ac:dyDescent="0.3">
      <c r="A793" s="2">
        <v>791</v>
      </c>
      <c r="B793" s="2" t="s">
        <v>770</v>
      </c>
      <c r="C793" s="2" t="s">
        <v>108</v>
      </c>
      <c r="D793" s="13" t="s">
        <v>300</v>
      </c>
      <c r="E793" s="3" t="s">
        <v>658</v>
      </c>
    </row>
    <row r="794" spans="1:5" x14ac:dyDescent="0.3">
      <c r="A794" s="2">
        <v>792</v>
      </c>
      <c r="B794" s="2" t="s">
        <v>771</v>
      </c>
      <c r="C794" s="2" t="s">
        <v>108</v>
      </c>
      <c r="D794" s="13" t="s">
        <v>300</v>
      </c>
      <c r="E794" s="3" t="s">
        <v>658</v>
      </c>
    </row>
    <row r="795" spans="1:5" x14ac:dyDescent="0.3">
      <c r="A795" s="2">
        <v>793</v>
      </c>
      <c r="B795" s="2" t="s">
        <v>248</v>
      </c>
      <c r="C795" s="2" t="s">
        <v>4</v>
      </c>
      <c r="D795" s="13" t="s">
        <v>300</v>
      </c>
      <c r="E795" s="3" t="s">
        <v>658</v>
      </c>
    </row>
    <row r="796" spans="1:5" x14ac:dyDescent="0.3">
      <c r="A796" s="2">
        <v>794</v>
      </c>
      <c r="B796" s="2" t="s">
        <v>247</v>
      </c>
      <c r="C796" s="2" t="s">
        <v>4</v>
      </c>
      <c r="D796" s="13" t="s">
        <v>300</v>
      </c>
      <c r="E796" s="3" t="s">
        <v>658</v>
      </c>
    </row>
    <row r="797" spans="1:5" x14ac:dyDescent="0.3">
      <c r="A797" s="2">
        <v>795</v>
      </c>
      <c r="B797" s="2" t="s">
        <v>246</v>
      </c>
      <c r="C797" s="2" t="s">
        <v>4</v>
      </c>
      <c r="D797" s="13" t="s">
        <v>300</v>
      </c>
      <c r="E797" s="3" t="s">
        <v>658</v>
      </c>
    </row>
    <row r="798" spans="1:5" x14ac:dyDescent="0.3">
      <c r="A798" s="2">
        <v>796</v>
      </c>
      <c r="B798" s="2" t="s">
        <v>277</v>
      </c>
      <c r="C798" s="2" t="s">
        <v>108</v>
      </c>
      <c r="D798" s="13" t="s">
        <v>300</v>
      </c>
      <c r="E798" s="3" t="s">
        <v>658</v>
      </c>
    </row>
    <row r="799" spans="1:5" x14ac:dyDescent="0.3">
      <c r="A799" s="2">
        <v>797</v>
      </c>
      <c r="B799" s="2" t="s">
        <v>276</v>
      </c>
      <c r="C799" s="2" t="s">
        <v>108</v>
      </c>
      <c r="D799" s="13" t="s">
        <v>300</v>
      </c>
      <c r="E799" s="3" t="s">
        <v>658</v>
      </c>
    </row>
    <row r="800" spans="1:5" x14ac:dyDescent="0.3">
      <c r="A800" s="2">
        <v>798</v>
      </c>
      <c r="B800" s="2" t="s">
        <v>291</v>
      </c>
      <c r="C800" s="2" t="s">
        <v>108</v>
      </c>
      <c r="D800" s="13" t="s">
        <v>300</v>
      </c>
      <c r="E800" s="3" t="s">
        <v>658</v>
      </c>
    </row>
    <row r="801" spans="1:5" x14ac:dyDescent="0.3">
      <c r="A801" s="2">
        <v>799</v>
      </c>
      <c r="B801" s="2" t="s">
        <v>290</v>
      </c>
      <c r="C801" s="2" t="s">
        <v>108</v>
      </c>
      <c r="D801" s="13" t="s">
        <v>300</v>
      </c>
      <c r="E801" s="3" t="s">
        <v>658</v>
      </c>
    </row>
    <row r="802" spans="1:5" x14ac:dyDescent="0.3">
      <c r="A802" s="2">
        <v>800</v>
      </c>
      <c r="B802" s="2" t="s">
        <v>772</v>
      </c>
      <c r="C802" s="2" t="s">
        <v>108</v>
      </c>
      <c r="D802" s="13" t="s">
        <v>300</v>
      </c>
      <c r="E802" s="3" t="s">
        <v>658</v>
      </c>
    </row>
    <row r="803" spans="1:5" x14ac:dyDescent="0.3">
      <c r="A803" s="2">
        <v>801</v>
      </c>
      <c r="B803" s="2" t="s">
        <v>773</v>
      </c>
      <c r="C803" s="2" t="s">
        <v>4</v>
      </c>
      <c r="D803" s="13" t="s">
        <v>300</v>
      </c>
      <c r="E803" s="3" t="s">
        <v>658</v>
      </c>
    </row>
    <row r="804" spans="1:5" x14ac:dyDescent="0.3">
      <c r="A804" s="2">
        <v>802</v>
      </c>
      <c r="B804" s="2" t="s">
        <v>774</v>
      </c>
      <c r="C804" s="2" t="s">
        <v>108</v>
      </c>
      <c r="D804" s="13" t="s">
        <v>300</v>
      </c>
      <c r="E804" s="3" t="s">
        <v>658</v>
      </c>
    </row>
    <row r="805" spans="1:5" x14ac:dyDescent="0.3">
      <c r="A805" s="2">
        <v>803</v>
      </c>
      <c r="B805" s="2" t="s">
        <v>775</v>
      </c>
      <c r="C805" s="2" t="s">
        <v>4</v>
      </c>
      <c r="D805" s="13" t="s">
        <v>300</v>
      </c>
      <c r="E805" s="3" t="s">
        <v>658</v>
      </c>
    </row>
    <row r="806" spans="1:5" x14ac:dyDescent="0.3">
      <c r="A806" s="2">
        <v>804</v>
      </c>
      <c r="B806" s="2" t="s">
        <v>776</v>
      </c>
      <c r="C806" s="2" t="s">
        <v>108</v>
      </c>
      <c r="D806" s="13" t="s">
        <v>300</v>
      </c>
      <c r="E806" s="3" t="s">
        <v>658</v>
      </c>
    </row>
    <row r="807" spans="1:5" x14ac:dyDescent="0.3">
      <c r="A807" s="2">
        <v>805</v>
      </c>
      <c r="B807" s="2" t="s">
        <v>777</v>
      </c>
      <c r="C807" s="2" t="s">
        <v>4</v>
      </c>
      <c r="D807" s="13" t="s">
        <v>300</v>
      </c>
      <c r="E807" s="3" t="s">
        <v>658</v>
      </c>
    </row>
    <row r="808" spans="1:5" x14ac:dyDescent="0.3">
      <c r="A808" s="2">
        <v>806</v>
      </c>
      <c r="B808" s="2" t="s">
        <v>778</v>
      </c>
      <c r="C808" s="2" t="s">
        <v>4</v>
      </c>
      <c r="D808" s="13" t="s">
        <v>300</v>
      </c>
      <c r="E808" s="3" t="s">
        <v>658</v>
      </c>
    </row>
    <row r="809" spans="1:5" x14ac:dyDescent="0.3">
      <c r="A809" s="2">
        <v>807</v>
      </c>
      <c r="B809" s="2" t="s">
        <v>779</v>
      </c>
      <c r="C809" s="2" t="s">
        <v>4</v>
      </c>
      <c r="D809" s="13" t="s">
        <v>300</v>
      </c>
      <c r="E809" s="3" t="s">
        <v>658</v>
      </c>
    </row>
    <row r="810" spans="1:5" x14ac:dyDescent="0.3">
      <c r="A810" s="2">
        <v>808</v>
      </c>
      <c r="B810" s="2" t="s">
        <v>780</v>
      </c>
      <c r="C810" s="2" t="s">
        <v>4</v>
      </c>
      <c r="D810" s="13" t="s">
        <v>300</v>
      </c>
      <c r="E810" s="3" t="s">
        <v>658</v>
      </c>
    </row>
    <row r="811" spans="1:5" x14ac:dyDescent="0.3">
      <c r="A811" s="2">
        <v>809</v>
      </c>
      <c r="B811" s="2" t="s">
        <v>781</v>
      </c>
      <c r="C811" s="2" t="s">
        <v>4</v>
      </c>
      <c r="D811" s="13" t="s">
        <v>300</v>
      </c>
      <c r="E811" s="3" t="s">
        <v>658</v>
      </c>
    </row>
    <row r="812" spans="1:5" x14ac:dyDescent="0.3">
      <c r="A812" s="2">
        <v>810</v>
      </c>
      <c r="B812" s="2" t="s">
        <v>782</v>
      </c>
      <c r="C812" s="2" t="s">
        <v>4</v>
      </c>
      <c r="D812" s="13" t="s">
        <v>300</v>
      </c>
      <c r="E812" s="3" t="s">
        <v>658</v>
      </c>
    </row>
    <row r="813" spans="1:5" x14ac:dyDescent="0.3">
      <c r="A813" s="2">
        <v>811</v>
      </c>
      <c r="B813" s="2" t="s">
        <v>783</v>
      </c>
      <c r="C813" s="2" t="s">
        <v>108</v>
      </c>
      <c r="D813" s="13" t="s">
        <v>300</v>
      </c>
      <c r="E813" s="3" t="s">
        <v>658</v>
      </c>
    </row>
    <row r="814" spans="1:5" x14ac:dyDescent="0.3">
      <c r="A814" s="2">
        <v>812</v>
      </c>
      <c r="B814" s="2" t="s">
        <v>784</v>
      </c>
      <c r="C814" s="2" t="s">
        <v>4</v>
      </c>
      <c r="D814" s="13" t="s">
        <v>300</v>
      </c>
      <c r="E814" s="3" t="s">
        <v>658</v>
      </c>
    </row>
    <row r="815" spans="1:5" x14ac:dyDescent="0.3">
      <c r="A815" s="2">
        <v>813</v>
      </c>
      <c r="B815" s="2" t="s">
        <v>785</v>
      </c>
      <c r="C815" s="2" t="s">
        <v>4</v>
      </c>
      <c r="D815" s="13" t="s">
        <v>300</v>
      </c>
      <c r="E815" s="3" t="s">
        <v>658</v>
      </c>
    </row>
    <row r="816" spans="1:5" x14ac:dyDescent="0.3">
      <c r="A816" s="2">
        <v>814</v>
      </c>
      <c r="B816" s="2" t="s">
        <v>786</v>
      </c>
      <c r="C816" s="2" t="s">
        <v>108</v>
      </c>
      <c r="D816" s="13" t="s">
        <v>300</v>
      </c>
      <c r="E816" s="3" t="s">
        <v>658</v>
      </c>
    </row>
    <row r="817" spans="1:5" x14ac:dyDescent="0.3">
      <c r="A817" s="2">
        <v>815</v>
      </c>
      <c r="B817" s="2" t="s">
        <v>787</v>
      </c>
      <c r="C817" s="2" t="s">
        <v>108</v>
      </c>
      <c r="D817" s="13" t="s">
        <v>300</v>
      </c>
      <c r="E817" s="3" t="s">
        <v>658</v>
      </c>
    </row>
    <row r="818" spans="1:5" x14ac:dyDescent="0.3">
      <c r="A818" s="2">
        <v>816</v>
      </c>
      <c r="B818" s="2" t="s">
        <v>788</v>
      </c>
      <c r="C818" s="2" t="s">
        <v>108</v>
      </c>
      <c r="D818" s="13" t="s">
        <v>300</v>
      </c>
      <c r="E818" s="3" t="s">
        <v>658</v>
      </c>
    </row>
    <row r="819" spans="1:5" x14ac:dyDescent="0.3">
      <c r="A819" s="2">
        <v>817</v>
      </c>
      <c r="B819" s="2" t="s">
        <v>789</v>
      </c>
      <c r="C819" s="2" t="s">
        <v>108</v>
      </c>
      <c r="D819" s="13" t="s">
        <v>300</v>
      </c>
      <c r="E819" s="3" t="s">
        <v>658</v>
      </c>
    </row>
    <row r="820" spans="1:5" x14ac:dyDescent="0.3">
      <c r="A820" s="2">
        <v>818</v>
      </c>
      <c r="B820" s="2" t="s">
        <v>790</v>
      </c>
      <c r="C820" s="2" t="s">
        <v>108</v>
      </c>
      <c r="D820" s="13" t="s">
        <v>300</v>
      </c>
      <c r="E820" s="3" t="s">
        <v>658</v>
      </c>
    </row>
    <row r="821" spans="1:5" x14ac:dyDescent="0.3">
      <c r="A821" s="2">
        <v>819</v>
      </c>
      <c r="B821" s="2" t="s">
        <v>791</v>
      </c>
      <c r="C821" s="2" t="s">
        <v>108</v>
      </c>
      <c r="D821" s="13" t="s">
        <v>300</v>
      </c>
      <c r="E821" s="3" t="s">
        <v>658</v>
      </c>
    </row>
    <row r="822" spans="1:5" x14ac:dyDescent="0.3">
      <c r="A822" s="2">
        <v>820</v>
      </c>
      <c r="B822" s="2" t="s">
        <v>792</v>
      </c>
      <c r="C822" s="2" t="s">
        <v>108</v>
      </c>
      <c r="D822" s="13" t="s">
        <v>300</v>
      </c>
      <c r="E822" s="3" t="s">
        <v>658</v>
      </c>
    </row>
    <row r="823" spans="1:5" x14ac:dyDescent="0.3">
      <c r="A823" s="2">
        <v>821</v>
      </c>
      <c r="B823" s="2" t="s">
        <v>793</v>
      </c>
      <c r="C823" s="2" t="s">
        <v>108</v>
      </c>
      <c r="D823" s="13" t="s">
        <v>300</v>
      </c>
      <c r="E823" s="3" t="s">
        <v>658</v>
      </c>
    </row>
    <row r="824" spans="1:5" hidden="1" x14ac:dyDescent="0.3">
      <c r="A824" s="2">
        <v>822</v>
      </c>
      <c r="B824" s="2" t="s">
        <v>794</v>
      </c>
      <c r="C824" s="2" t="s">
        <v>4</v>
      </c>
      <c r="D824" s="9" t="s">
        <v>208</v>
      </c>
      <c r="E824" s="3" t="s">
        <v>658</v>
      </c>
    </row>
    <row r="825" spans="1:5" hidden="1" x14ac:dyDescent="0.3">
      <c r="A825" s="2">
        <v>823</v>
      </c>
      <c r="B825" s="2" t="s">
        <v>795</v>
      </c>
      <c r="C825" s="2" t="s">
        <v>4</v>
      </c>
      <c r="D825" s="9" t="s">
        <v>208</v>
      </c>
      <c r="E825" s="3" t="s">
        <v>658</v>
      </c>
    </row>
    <row r="826" spans="1:5" hidden="1" x14ac:dyDescent="0.3">
      <c r="A826" s="2">
        <v>824</v>
      </c>
      <c r="B826" s="2" t="s">
        <v>598</v>
      </c>
      <c r="C826" s="2" t="s">
        <v>4</v>
      </c>
      <c r="D826" s="9" t="s">
        <v>208</v>
      </c>
      <c r="E826" s="3" t="s">
        <v>658</v>
      </c>
    </row>
    <row r="827" spans="1:5" hidden="1" x14ac:dyDescent="0.3">
      <c r="A827" s="2">
        <v>825</v>
      </c>
      <c r="B827" s="2" t="s">
        <v>599</v>
      </c>
      <c r="C827" s="2" t="s">
        <v>4</v>
      </c>
      <c r="D827" s="9" t="s">
        <v>208</v>
      </c>
      <c r="E827" s="3" t="s">
        <v>658</v>
      </c>
    </row>
    <row r="828" spans="1:5" hidden="1" x14ac:dyDescent="0.3">
      <c r="A828" s="2">
        <v>826</v>
      </c>
      <c r="B828" s="2" t="s">
        <v>796</v>
      </c>
      <c r="C828" s="2" t="s">
        <v>4</v>
      </c>
      <c r="D828" s="9" t="s">
        <v>208</v>
      </c>
      <c r="E828" s="3" t="s">
        <v>658</v>
      </c>
    </row>
    <row r="829" spans="1:5" hidden="1" x14ac:dyDescent="0.3">
      <c r="A829" s="2">
        <v>827</v>
      </c>
      <c r="B829" s="2" t="s">
        <v>124</v>
      </c>
      <c r="C829" s="2" t="s">
        <v>4</v>
      </c>
      <c r="D829" s="9" t="s">
        <v>208</v>
      </c>
      <c r="E829" s="3" t="s">
        <v>658</v>
      </c>
    </row>
    <row r="830" spans="1:5" hidden="1" x14ac:dyDescent="0.3">
      <c r="A830" s="2">
        <v>828</v>
      </c>
      <c r="B830" s="2" t="s">
        <v>797</v>
      </c>
      <c r="C830" s="2" t="s">
        <v>4</v>
      </c>
      <c r="D830" s="9" t="s">
        <v>208</v>
      </c>
      <c r="E830" s="3" t="s">
        <v>658</v>
      </c>
    </row>
    <row r="831" spans="1:5" hidden="1" x14ac:dyDescent="0.3">
      <c r="A831" s="2">
        <v>829</v>
      </c>
      <c r="B831" s="2" t="s">
        <v>798</v>
      </c>
      <c r="C831" s="2" t="s">
        <v>4</v>
      </c>
      <c r="D831" s="9" t="s">
        <v>208</v>
      </c>
      <c r="E831" s="3" t="s">
        <v>658</v>
      </c>
    </row>
    <row r="832" spans="1:5" hidden="1" x14ac:dyDescent="0.3">
      <c r="A832" s="2">
        <v>830</v>
      </c>
      <c r="B832" s="2" t="s">
        <v>600</v>
      </c>
      <c r="C832" s="2" t="s">
        <v>4</v>
      </c>
      <c r="D832" s="9" t="s">
        <v>208</v>
      </c>
      <c r="E832" s="3" t="s">
        <v>658</v>
      </c>
    </row>
    <row r="833" spans="1:5" hidden="1" x14ac:dyDescent="0.3">
      <c r="A833" s="2">
        <v>831</v>
      </c>
      <c r="B833" s="2" t="s">
        <v>123</v>
      </c>
      <c r="C833" s="2" t="s">
        <v>4</v>
      </c>
      <c r="D833" s="9" t="s">
        <v>208</v>
      </c>
      <c r="E833" s="3" t="s">
        <v>658</v>
      </c>
    </row>
    <row r="834" spans="1:5" hidden="1" x14ac:dyDescent="0.3">
      <c r="A834" s="2">
        <v>832</v>
      </c>
      <c r="B834" s="2" t="s">
        <v>112</v>
      </c>
      <c r="C834" s="2" t="s">
        <v>4</v>
      </c>
      <c r="D834" s="9" t="s">
        <v>208</v>
      </c>
      <c r="E834" s="3" t="s">
        <v>658</v>
      </c>
    </row>
    <row r="835" spans="1:5" hidden="1" x14ac:dyDescent="0.3">
      <c r="A835" s="2">
        <v>833</v>
      </c>
      <c r="B835" s="2" t="s">
        <v>650</v>
      </c>
      <c r="C835" s="2" t="s">
        <v>4</v>
      </c>
      <c r="D835" s="9" t="s">
        <v>208</v>
      </c>
      <c r="E835" s="3" t="s">
        <v>658</v>
      </c>
    </row>
    <row r="836" spans="1:5" hidden="1" x14ac:dyDescent="0.3">
      <c r="A836" s="2">
        <v>834</v>
      </c>
      <c r="B836" s="2" t="s">
        <v>649</v>
      </c>
      <c r="C836" s="2" t="s">
        <v>4</v>
      </c>
      <c r="D836" s="9" t="s">
        <v>208</v>
      </c>
      <c r="E836" s="3" t="s">
        <v>658</v>
      </c>
    </row>
    <row r="837" spans="1:5" hidden="1" x14ac:dyDescent="0.3">
      <c r="A837" s="2">
        <v>835</v>
      </c>
      <c r="B837" s="2" t="s">
        <v>799</v>
      </c>
      <c r="C837" s="2" t="s">
        <v>4</v>
      </c>
      <c r="D837" s="9" t="s">
        <v>208</v>
      </c>
      <c r="E837" s="3" t="s">
        <v>658</v>
      </c>
    </row>
    <row r="838" spans="1:5" hidden="1" x14ac:dyDescent="0.3">
      <c r="A838" s="2">
        <v>836</v>
      </c>
      <c r="B838" s="2" t="s">
        <v>800</v>
      </c>
      <c r="C838" s="2" t="s">
        <v>4</v>
      </c>
      <c r="D838" s="9" t="s">
        <v>208</v>
      </c>
      <c r="E838" s="3" t="s">
        <v>658</v>
      </c>
    </row>
    <row r="839" spans="1:5" hidden="1" x14ac:dyDescent="0.3">
      <c r="A839" s="2">
        <v>837</v>
      </c>
      <c r="B839" s="2" t="s">
        <v>801</v>
      </c>
      <c r="C839" s="2" t="s">
        <v>4</v>
      </c>
      <c r="D839" s="9" t="s">
        <v>208</v>
      </c>
      <c r="E839" s="3" t="s">
        <v>658</v>
      </c>
    </row>
    <row r="840" spans="1:5" hidden="1" x14ac:dyDescent="0.3">
      <c r="A840" s="2">
        <v>838</v>
      </c>
      <c r="B840" s="2" t="s">
        <v>802</v>
      </c>
      <c r="C840" s="2" t="s">
        <v>4</v>
      </c>
      <c r="D840" s="9" t="s">
        <v>208</v>
      </c>
      <c r="E840" s="3" t="s">
        <v>658</v>
      </c>
    </row>
    <row r="841" spans="1:5" hidden="1" x14ac:dyDescent="0.3">
      <c r="A841" s="2">
        <v>839</v>
      </c>
      <c r="B841" s="2" t="s">
        <v>803</v>
      </c>
      <c r="C841" s="2" t="s">
        <v>4</v>
      </c>
      <c r="D841" s="9" t="s">
        <v>208</v>
      </c>
      <c r="E841" s="3" t="s">
        <v>658</v>
      </c>
    </row>
    <row r="842" spans="1:5" hidden="1" x14ac:dyDescent="0.3">
      <c r="A842" s="2">
        <v>840</v>
      </c>
      <c r="B842" s="2" t="s">
        <v>804</v>
      </c>
      <c r="C842" s="2" t="s">
        <v>4</v>
      </c>
      <c r="D842" s="9" t="s">
        <v>208</v>
      </c>
      <c r="E842" s="3" t="s">
        <v>658</v>
      </c>
    </row>
    <row r="843" spans="1:5" hidden="1" x14ac:dyDescent="0.3">
      <c r="A843" s="2">
        <v>841</v>
      </c>
      <c r="B843" s="2" t="s">
        <v>602</v>
      </c>
      <c r="C843" s="2" t="s">
        <v>4</v>
      </c>
      <c r="D843" s="9" t="s">
        <v>208</v>
      </c>
      <c r="E843" s="3" t="s">
        <v>658</v>
      </c>
    </row>
    <row r="844" spans="1:5" hidden="1" x14ac:dyDescent="0.3">
      <c r="A844" s="2">
        <v>842</v>
      </c>
      <c r="B844" s="2" t="s">
        <v>805</v>
      </c>
      <c r="C844" s="2" t="s">
        <v>4</v>
      </c>
      <c r="D844" s="9" t="s">
        <v>208</v>
      </c>
      <c r="E844" s="3" t="s">
        <v>658</v>
      </c>
    </row>
    <row r="845" spans="1:5" hidden="1" x14ac:dyDescent="0.3">
      <c r="A845" s="2">
        <v>843</v>
      </c>
      <c r="B845" s="2" t="s">
        <v>806</v>
      </c>
      <c r="C845" s="2" t="s">
        <v>4</v>
      </c>
      <c r="D845" s="9" t="s">
        <v>208</v>
      </c>
      <c r="E845" s="3" t="s">
        <v>658</v>
      </c>
    </row>
    <row r="846" spans="1:5" hidden="1" x14ac:dyDescent="0.3">
      <c r="A846" s="2">
        <v>844</v>
      </c>
      <c r="B846" s="2" t="s">
        <v>807</v>
      </c>
      <c r="C846" s="2" t="s">
        <v>4</v>
      </c>
      <c r="D846" s="9" t="s">
        <v>208</v>
      </c>
      <c r="E846" s="3" t="s">
        <v>658</v>
      </c>
    </row>
    <row r="847" spans="1:5" hidden="1" x14ac:dyDescent="0.3">
      <c r="A847" s="2">
        <v>845</v>
      </c>
      <c r="B847" s="2" t="s">
        <v>808</v>
      </c>
      <c r="C847" s="2" t="s">
        <v>108</v>
      </c>
      <c r="D847" s="9" t="s">
        <v>208</v>
      </c>
      <c r="E847" s="3" t="s">
        <v>658</v>
      </c>
    </row>
    <row r="848" spans="1:5" hidden="1" x14ac:dyDescent="0.3">
      <c r="A848" s="2">
        <v>846</v>
      </c>
      <c r="B848" s="2" t="s">
        <v>809</v>
      </c>
      <c r="C848" s="2" t="s">
        <v>4</v>
      </c>
      <c r="D848" s="9" t="s">
        <v>208</v>
      </c>
      <c r="E848" s="3" t="s">
        <v>658</v>
      </c>
    </row>
    <row r="849" spans="1:5" hidden="1" x14ac:dyDescent="0.3">
      <c r="A849" s="2">
        <v>847</v>
      </c>
      <c r="B849" s="2" t="s">
        <v>601</v>
      </c>
      <c r="C849" s="2" t="s">
        <v>4</v>
      </c>
      <c r="D849" s="9" t="s">
        <v>208</v>
      </c>
      <c r="E849" s="3" t="s">
        <v>658</v>
      </c>
    </row>
    <row r="850" spans="1:5" hidden="1" x14ac:dyDescent="0.3">
      <c r="A850" s="2">
        <v>848</v>
      </c>
      <c r="B850" s="2" t="s">
        <v>810</v>
      </c>
      <c r="C850" s="2" t="s">
        <v>4</v>
      </c>
      <c r="D850" s="9" t="s">
        <v>208</v>
      </c>
      <c r="E850" s="3" t="s">
        <v>658</v>
      </c>
    </row>
    <row r="851" spans="1:5" hidden="1" x14ac:dyDescent="0.3">
      <c r="A851" s="2">
        <v>849</v>
      </c>
      <c r="B851" s="2" t="s">
        <v>811</v>
      </c>
      <c r="C851" s="2" t="s">
        <v>4</v>
      </c>
      <c r="D851" s="9" t="s">
        <v>208</v>
      </c>
      <c r="E851" s="3" t="s">
        <v>658</v>
      </c>
    </row>
    <row r="852" spans="1:5" hidden="1" x14ac:dyDescent="0.3">
      <c r="A852" s="2">
        <v>850</v>
      </c>
      <c r="B852" s="2" t="s">
        <v>812</v>
      </c>
      <c r="C852" s="2" t="s">
        <v>108</v>
      </c>
      <c r="D852" s="9" t="s">
        <v>208</v>
      </c>
      <c r="E852" s="3" t="s">
        <v>658</v>
      </c>
    </row>
    <row r="853" spans="1:5" hidden="1" x14ac:dyDescent="0.3">
      <c r="A853" s="2">
        <v>851</v>
      </c>
      <c r="B853" s="2" t="s">
        <v>141</v>
      </c>
      <c r="C853" s="2" t="s">
        <v>108</v>
      </c>
      <c r="D853" s="9" t="s">
        <v>208</v>
      </c>
      <c r="E853" s="3" t="s">
        <v>658</v>
      </c>
    </row>
    <row r="854" spans="1:5" hidden="1" x14ac:dyDescent="0.3">
      <c r="A854" s="2">
        <v>852</v>
      </c>
      <c r="B854" s="2" t="s">
        <v>176</v>
      </c>
      <c r="C854" s="2" t="s">
        <v>108</v>
      </c>
      <c r="D854" s="9" t="s">
        <v>208</v>
      </c>
      <c r="E854" s="3" t="s">
        <v>658</v>
      </c>
    </row>
    <row r="855" spans="1:5" hidden="1" x14ac:dyDescent="0.3">
      <c r="A855" s="2">
        <v>853</v>
      </c>
      <c r="B855" s="2" t="s">
        <v>170</v>
      </c>
      <c r="C855" s="2" t="s">
        <v>108</v>
      </c>
      <c r="D855" s="9" t="s">
        <v>208</v>
      </c>
      <c r="E855" s="3" t="s">
        <v>658</v>
      </c>
    </row>
    <row r="856" spans="1:5" hidden="1" x14ac:dyDescent="0.3">
      <c r="A856" s="2">
        <v>854</v>
      </c>
      <c r="B856" s="2" t="s">
        <v>813</v>
      </c>
      <c r="C856" s="2" t="s">
        <v>4</v>
      </c>
      <c r="D856" s="9" t="s">
        <v>208</v>
      </c>
      <c r="E856" s="3" t="s">
        <v>658</v>
      </c>
    </row>
    <row r="857" spans="1:5" hidden="1" x14ac:dyDescent="0.3">
      <c r="A857" s="2">
        <v>855</v>
      </c>
      <c r="B857" s="2" t="s">
        <v>814</v>
      </c>
      <c r="C857" s="2" t="s">
        <v>108</v>
      </c>
      <c r="D857" s="9" t="s">
        <v>208</v>
      </c>
      <c r="E857" s="3" t="s">
        <v>658</v>
      </c>
    </row>
    <row r="858" spans="1:5" hidden="1" x14ac:dyDescent="0.3">
      <c r="A858" s="2">
        <v>856</v>
      </c>
      <c r="B858" s="2" t="s">
        <v>125</v>
      </c>
      <c r="C858" s="2" t="s">
        <v>4</v>
      </c>
      <c r="D858" s="9" t="s">
        <v>208</v>
      </c>
      <c r="E858" s="3" t="s">
        <v>658</v>
      </c>
    </row>
    <row r="859" spans="1:5" hidden="1" x14ac:dyDescent="0.3">
      <c r="A859" s="2">
        <v>857</v>
      </c>
      <c r="B859" s="2" t="s">
        <v>161</v>
      </c>
      <c r="C859" s="2" t="s">
        <v>108</v>
      </c>
      <c r="D859" s="9" t="s">
        <v>208</v>
      </c>
      <c r="E859" s="3" t="s">
        <v>658</v>
      </c>
    </row>
    <row r="860" spans="1:5" hidden="1" x14ac:dyDescent="0.3">
      <c r="A860" s="2">
        <v>858</v>
      </c>
      <c r="B860" s="2" t="s">
        <v>180</v>
      </c>
      <c r="C860" s="2" t="s">
        <v>108</v>
      </c>
      <c r="D860" s="9" t="s">
        <v>208</v>
      </c>
      <c r="E860" s="3" t="s">
        <v>658</v>
      </c>
    </row>
    <row r="861" spans="1:5" hidden="1" x14ac:dyDescent="0.3">
      <c r="A861" s="2">
        <v>859</v>
      </c>
      <c r="B861" s="2" t="s">
        <v>179</v>
      </c>
      <c r="C861" s="2" t="s">
        <v>108</v>
      </c>
      <c r="D861" s="9" t="s">
        <v>208</v>
      </c>
      <c r="E861" s="3" t="s">
        <v>658</v>
      </c>
    </row>
    <row r="862" spans="1:5" hidden="1" x14ac:dyDescent="0.3">
      <c r="A862" s="2">
        <v>860</v>
      </c>
      <c r="B862" s="2" t="s">
        <v>174</v>
      </c>
      <c r="C862" s="2" t="s">
        <v>108</v>
      </c>
      <c r="D862" s="9" t="s">
        <v>208</v>
      </c>
      <c r="E862" s="3" t="s">
        <v>658</v>
      </c>
    </row>
    <row r="863" spans="1:5" hidden="1" x14ac:dyDescent="0.3">
      <c r="A863" s="2">
        <v>861</v>
      </c>
      <c r="B863" s="2" t="s">
        <v>815</v>
      </c>
      <c r="C863" s="2" t="s">
        <v>4</v>
      </c>
      <c r="D863" s="9" t="s">
        <v>208</v>
      </c>
      <c r="E863" s="3" t="s">
        <v>658</v>
      </c>
    </row>
    <row r="864" spans="1:5" hidden="1" x14ac:dyDescent="0.3">
      <c r="A864" s="2">
        <v>862</v>
      </c>
      <c r="B864" s="2" t="s">
        <v>816</v>
      </c>
      <c r="C864" s="2" t="s">
        <v>108</v>
      </c>
      <c r="D864" s="9" t="s">
        <v>208</v>
      </c>
      <c r="E864" s="3" t="s">
        <v>658</v>
      </c>
    </row>
    <row r="865" spans="1:5" hidden="1" x14ac:dyDescent="0.3">
      <c r="A865" s="2">
        <v>863</v>
      </c>
      <c r="B865" s="2" t="s">
        <v>817</v>
      </c>
      <c r="C865" s="2" t="s">
        <v>108</v>
      </c>
      <c r="D865" s="9" t="s">
        <v>208</v>
      </c>
      <c r="E865" s="3" t="s">
        <v>658</v>
      </c>
    </row>
    <row r="866" spans="1:5" hidden="1" x14ac:dyDescent="0.3">
      <c r="A866" s="2">
        <v>864</v>
      </c>
      <c r="B866" s="2" t="s">
        <v>818</v>
      </c>
      <c r="C866" s="2" t="s">
        <v>108</v>
      </c>
      <c r="D866" s="9" t="s">
        <v>208</v>
      </c>
      <c r="E866" s="3" t="s">
        <v>658</v>
      </c>
    </row>
    <row r="867" spans="1:5" hidden="1" x14ac:dyDescent="0.3">
      <c r="A867" s="2">
        <v>865</v>
      </c>
      <c r="B867" s="2" t="s">
        <v>819</v>
      </c>
      <c r="C867" s="2" t="s">
        <v>108</v>
      </c>
      <c r="D867" s="9" t="s">
        <v>208</v>
      </c>
      <c r="E867" s="3" t="s">
        <v>658</v>
      </c>
    </row>
    <row r="868" spans="1:5" hidden="1" x14ac:dyDescent="0.3">
      <c r="A868" s="2">
        <v>866</v>
      </c>
      <c r="B868" s="2" t="s">
        <v>820</v>
      </c>
      <c r="C868" s="2" t="s">
        <v>108</v>
      </c>
      <c r="D868" s="9" t="s">
        <v>208</v>
      </c>
      <c r="E868" s="3" t="s">
        <v>658</v>
      </c>
    </row>
    <row r="869" spans="1:5" hidden="1" x14ac:dyDescent="0.3">
      <c r="A869" s="2">
        <v>867</v>
      </c>
      <c r="B869" s="2" t="s">
        <v>821</v>
      </c>
      <c r="C869" s="2" t="s">
        <v>4</v>
      </c>
      <c r="D869" s="9" t="s">
        <v>208</v>
      </c>
      <c r="E869" s="3" t="s">
        <v>658</v>
      </c>
    </row>
    <row r="870" spans="1:5" hidden="1" x14ac:dyDescent="0.3">
      <c r="A870" s="2">
        <v>868</v>
      </c>
      <c r="B870" s="2" t="s">
        <v>822</v>
      </c>
      <c r="C870" s="2" t="s">
        <v>108</v>
      </c>
      <c r="D870" s="9" t="s">
        <v>208</v>
      </c>
      <c r="E870" s="3" t="s">
        <v>658</v>
      </c>
    </row>
    <row r="871" spans="1:5" hidden="1" x14ac:dyDescent="0.3">
      <c r="A871" s="2">
        <v>869</v>
      </c>
      <c r="B871" s="2" t="s">
        <v>823</v>
      </c>
      <c r="C871" s="2" t="s">
        <v>4</v>
      </c>
      <c r="D871" s="9" t="s">
        <v>208</v>
      </c>
      <c r="E871" s="3" t="s">
        <v>658</v>
      </c>
    </row>
    <row r="872" spans="1:5" hidden="1" x14ac:dyDescent="0.3">
      <c r="A872" s="2">
        <v>870</v>
      </c>
      <c r="B872" s="2" t="s">
        <v>603</v>
      </c>
      <c r="C872" s="2" t="s">
        <v>108</v>
      </c>
      <c r="D872" s="9" t="s">
        <v>208</v>
      </c>
      <c r="E872" s="3" t="s">
        <v>658</v>
      </c>
    </row>
    <row r="873" spans="1:5" hidden="1" x14ac:dyDescent="0.3">
      <c r="A873" s="2">
        <v>871</v>
      </c>
      <c r="B873" s="2" t="s">
        <v>824</v>
      </c>
      <c r="C873" s="2" t="s">
        <v>108</v>
      </c>
      <c r="D873" s="9" t="s">
        <v>208</v>
      </c>
      <c r="E873" s="3" t="s">
        <v>658</v>
      </c>
    </row>
    <row r="874" spans="1:5" hidden="1" x14ac:dyDescent="0.3">
      <c r="A874" s="2">
        <v>872</v>
      </c>
      <c r="B874" s="2" t="s">
        <v>825</v>
      </c>
      <c r="C874" s="2" t="s">
        <v>108</v>
      </c>
      <c r="D874" s="9" t="s">
        <v>208</v>
      </c>
      <c r="E874" s="3" t="s">
        <v>658</v>
      </c>
    </row>
    <row r="875" spans="1:5" hidden="1" x14ac:dyDescent="0.3">
      <c r="A875" s="2">
        <v>873</v>
      </c>
      <c r="B875" s="2" t="s">
        <v>826</v>
      </c>
      <c r="C875" s="2" t="s">
        <v>4</v>
      </c>
      <c r="D875" s="9" t="s">
        <v>208</v>
      </c>
      <c r="E875" s="3" t="s">
        <v>658</v>
      </c>
    </row>
    <row r="876" spans="1:5" hidden="1" x14ac:dyDescent="0.3">
      <c r="A876" s="2">
        <v>874</v>
      </c>
      <c r="B876" s="2" t="s">
        <v>827</v>
      </c>
      <c r="C876" s="2" t="s">
        <v>4</v>
      </c>
      <c r="D876" s="9" t="s">
        <v>208</v>
      </c>
      <c r="E876" s="3" t="s">
        <v>658</v>
      </c>
    </row>
    <row r="877" spans="1:5" hidden="1" x14ac:dyDescent="0.3">
      <c r="A877" s="2">
        <v>875</v>
      </c>
      <c r="B877" s="2" t="s">
        <v>828</v>
      </c>
      <c r="C877" s="2" t="s">
        <v>4</v>
      </c>
      <c r="D877" s="9" t="s">
        <v>208</v>
      </c>
      <c r="E877" s="3" t="s">
        <v>658</v>
      </c>
    </row>
    <row r="878" spans="1:5" hidden="1" x14ac:dyDescent="0.3">
      <c r="A878" s="2">
        <v>876</v>
      </c>
      <c r="B878" s="2" t="s">
        <v>829</v>
      </c>
      <c r="C878" s="2" t="s">
        <v>4</v>
      </c>
      <c r="D878" s="9" t="s">
        <v>208</v>
      </c>
      <c r="E878" s="3" t="s">
        <v>658</v>
      </c>
    </row>
    <row r="879" spans="1:5" hidden="1" x14ac:dyDescent="0.3">
      <c r="A879" s="2">
        <v>877</v>
      </c>
      <c r="B879" s="2" t="s">
        <v>830</v>
      </c>
      <c r="C879" s="2" t="s">
        <v>4</v>
      </c>
      <c r="D879" s="9" t="s">
        <v>208</v>
      </c>
      <c r="E879" s="3" t="s">
        <v>658</v>
      </c>
    </row>
    <row r="880" spans="1:5" hidden="1" x14ac:dyDescent="0.3">
      <c r="A880" s="2">
        <v>878</v>
      </c>
      <c r="B880" s="2" t="s">
        <v>831</v>
      </c>
      <c r="C880" s="2" t="s">
        <v>108</v>
      </c>
      <c r="D880" s="9" t="s">
        <v>208</v>
      </c>
      <c r="E880" s="3" t="s">
        <v>658</v>
      </c>
    </row>
    <row r="881" spans="1:5" hidden="1" x14ac:dyDescent="0.3">
      <c r="A881" s="2">
        <v>879</v>
      </c>
      <c r="B881" s="2" t="s">
        <v>193</v>
      </c>
      <c r="C881" s="2" t="s">
        <v>108</v>
      </c>
      <c r="D881" s="9" t="s">
        <v>208</v>
      </c>
      <c r="E881" s="3" t="s">
        <v>658</v>
      </c>
    </row>
    <row r="882" spans="1:5" hidden="1" x14ac:dyDescent="0.3">
      <c r="A882" s="2">
        <v>880</v>
      </c>
      <c r="B882" s="2" t="s">
        <v>832</v>
      </c>
      <c r="C882" s="2" t="s">
        <v>108</v>
      </c>
      <c r="D882" s="9" t="s">
        <v>208</v>
      </c>
      <c r="E882" s="3" t="s">
        <v>658</v>
      </c>
    </row>
    <row r="883" spans="1:5" hidden="1" x14ac:dyDescent="0.3">
      <c r="A883" s="2">
        <v>881</v>
      </c>
      <c r="B883" s="2" t="s">
        <v>833</v>
      </c>
      <c r="C883" s="2" t="s">
        <v>108</v>
      </c>
      <c r="D883" s="9" t="s">
        <v>208</v>
      </c>
      <c r="E883" s="3" t="s">
        <v>658</v>
      </c>
    </row>
    <row r="884" spans="1:5" hidden="1" x14ac:dyDescent="0.3">
      <c r="A884" s="2">
        <v>882</v>
      </c>
      <c r="B884" s="2" t="s">
        <v>834</v>
      </c>
      <c r="C884" s="2" t="s">
        <v>108</v>
      </c>
      <c r="D884" s="9" t="s">
        <v>208</v>
      </c>
      <c r="E884" s="3" t="s">
        <v>658</v>
      </c>
    </row>
    <row r="885" spans="1:5" hidden="1" x14ac:dyDescent="0.3">
      <c r="A885" s="2">
        <v>883</v>
      </c>
      <c r="B885" s="2" t="s">
        <v>835</v>
      </c>
      <c r="C885" s="2" t="s">
        <v>108</v>
      </c>
      <c r="D885" s="9" t="s">
        <v>208</v>
      </c>
      <c r="E885" s="3" t="s">
        <v>658</v>
      </c>
    </row>
    <row r="886" spans="1:5" hidden="1" x14ac:dyDescent="0.3">
      <c r="A886" s="2">
        <v>884</v>
      </c>
      <c r="B886" s="2" t="s">
        <v>836</v>
      </c>
      <c r="C886" s="2" t="s">
        <v>108</v>
      </c>
      <c r="D886" s="9" t="s">
        <v>208</v>
      </c>
      <c r="E886" s="3" t="s">
        <v>658</v>
      </c>
    </row>
    <row r="887" spans="1:5" hidden="1" x14ac:dyDescent="0.3">
      <c r="A887" s="2">
        <v>885</v>
      </c>
      <c r="B887" s="2" t="s">
        <v>649</v>
      </c>
      <c r="C887" s="2" t="s">
        <v>4</v>
      </c>
      <c r="D887" s="9" t="s">
        <v>208</v>
      </c>
      <c r="E887" s="3" t="s">
        <v>658</v>
      </c>
    </row>
    <row r="888" spans="1:5" hidden="1" x14ac:dyDescent="0.3">
      <c r="A888" s="2">
        <v>886</v>
      </c>
      <c r="B888" s="2" t="s">
        <v>796</v>
      </c>
      <c r="C888" s="2" t="s">
        <v>4</v>
      </c>
      <c r="D888" s="9" t="s">
        <v>208</v>
      </c>
      <c r="E888" s="3" t="s">
        <v>658</v>
      </c>
    </row>
    <row r="889" spans="1:5" hidden="1" x14ac:dyDescent="0.3">
      <c r="A889" s="2">
        <v>887</v>
      </c>
      <c r="B889" s="2" t="s">
        <v>124</v>
      </c>
      <c r="C889" s="2" t="s">
        <v>4</v>
      </c>
      <c r="D889" s="9" t="s">
        <v>208</v>
      </c>
      <c r="E889" s="3" t="s">
        <v>658</v>
      </c>
    </row>
    <row r="890" spans="1:5" hidden="1" x14ac:dyDescent="0.3">
      <c r="A890" s="2">
        <v>888</v>
      </c>
      <c r="B890" s="2" t="s">
        <v>798</v>
      </c>
      <c r="C890" s="2" t="s">
        <v>4</v>
      </c>
      <c r="D890" s="9" t="s">
        <v>208</v>
      </c>
      <c r="E890" s="3" t="s">
        <v>658</v>
      </c>
    </row>
    <row r="891" spans="1:5" hidden="1" x14ac:dyDescent="0.3">
      <c r="A891" s="2">
        <v>889</v>
      </c>
      <c r="B891" s="2" t="s">
        <v>837</v>
      </c>
      <c r="C891" s="2" t="s">
        <v>108</v>
      </c>
      <c r="D891" s="9" t="s">
        <v>208</v>
      </c>
      <c r="E891" s="3" t="s">
        <v>658</v>
      </c>
    </row>
    <row r="892" spans="1:5" hidden="1" x14ac:dyDescent="0.3">
      <c r="A892" s="2">
        <v>890</v>
      </c>
      <c r="B892" s="2" t="s">
        <v>838</v>
      </c>
      <c r="C892" s="2" t="s">
        <v>108</v>
      </c>
      <c r="D892" s="9" t="s">
        <v>208</v>
      </c>
      <c r="E892" s="3" t="s">
        <v>658</v>
      </c>
    </row>
    <row r="893" spans="1:5" hidden="1" x14ac:dyDescent="0.3">
      <c r="A893" s="2">
        <v>891</v>
      </c>
      <c r="B893" s="2" t="s">
        <v>293</v>
      </c>
      <c r="C893" s="2" t="s">
        <v>108</v>
      </c>
      <c r="D893" s="9" t="s">
        <v>208</v>
      </c>
      <c r="E893" s="3" t="s">
        <v>658</v>
      </c>
    </row>
    <row r="894" spans="1:5" hidden="1" x14ac:dyDescent="0.3">
      <c r="A894" s="2">
        <v>892</v>
      </c>
      <c r="B894" s="2" t="s">
        <v>839</v>
      </c>
      <c r="C894" s="2" t="s">
        <v>108</v>
      </c>
      <c r="D894" s="9" t="s">
        <v>208</v>
      </c>
      <c r="E894" s="3" t="s">
        <v>658</v>
      </c>
    </row>
    <row r="895" spans="1:5" hidden="1" x14ac:dyDescent="0.3">
      <c r="A895" s="2">
        <v>893</v>
      </c>
      <c r="B895" s="2" t="s">
        <v>142</v>
      </c>
      <c r="C895" s="2" t="s">
        <v>108</v>
      </c>
      <c r="D895" s="9" t="s">
        <v>208</v>
      </c>
      <c r="E895" s="3" t="s">
        <v>658</v>
      </c>
    </row>
    <row r="896" spans="1:5" hidden="1" x14ac:dyDescent="0.3">
      <c r="A896" s="2">
        <v>894</v>
      </c>
      <c r="B896" s="2" t="s">
        <v>840</v>
      </c>
      <c r="C896" s="2" t="s">
        <v>108</v>
      </c>
      <c r="D896" s="9" t="s">
        <v>208</v>
      </c>
      <c r="E896" s="3" t="s">
        <v>658</v>
      </c>
    </row>
    <row r="897" spans="1:5" hidden="1" x14ac:dyDescent="0.3">
      <c r="A897" s="2">
        <v>895</v>
      </c>
      <c r="B897" s="2" t="s">
        <v>162</v>
      </c>
      <c r="C897" s="2" t="s">
        <v>108</v>
      </c>
      <c r="D897" s="9" t="s">
        <v>208</v>
      </c>
      <c r="E897" s="3" t="s">
        <v>658</v>
      </c>
    </row>
    <row r="898" spans="1:5" hidden="1" x14ac:dyDescent="0.3">
      <c r="A898" s="2">
        <v>896</v>
      </c>
      <c r="B898" s="2" t="s">
        <v>176</v>
      </c>
      <c r="C898" s="2" t="s">
        <v>108</v>
      </c>
      <c r="D898" s="9" t="s">
        <v>208</v>
      </c>
      <c r="E898" s="3" t="s">
        <v>658</v>
      </c>
    </row>
    <row r="899" spans="1:5" hidden="1" x14ac:dyDescent="0.3">
      <c r="A899" s="2">
        <v>897</v>
      </c>
      <c r="B899" s="2" t="s">
        <v>622</v>
      </c>
      <c r="C899" s="2" t="s">
        <v>4</v>
      </c>
      <c r="D899" s="9" t="s">
        <v>623</v>
      </c>
      <c r="E899" s="3" t="s">
        <v>658</v>
      </c>
    </row>
    <row r="900" spans="1:5" hidden="1" x14ac:dyDescent="0.3">
      <c r="A900" s="2">
        <v>898</v>
      </c>
      <c r="B900" s="2" t="s">
        <v>624</v>
      </c>
      <c r="C900" s="2" t="s">
        <v>4</v>
      </c>
      <c r="D900" s="9" t="s">
        <v>623</v>
      </c>
      <c r="E900" s="3" t="s">
        <v>658</v>
      </c>
    </row>
    <row r="901" spans="1:5" hidden="1" x14ac:dyDescent="0.3">
      <c r="A901" s="2">
        <v>899</v>
      </c>
      <c r="B901" s="2" t="s">
        <v>626</v>
      </c>
      <c r="C901" s="2" t="s">
        <v>4</v>
      </c>
      <c r="D901" s="9" t="s">
        <v>623</v>
      </c>
      <c r="E901" s="3" t="s">
        <v>658</v>
      </c>
    </row>
    <row r="902" spans="1:5" hidden="1" x14ac:dyDescent="0.3">
      <c r="A902" s="2">
        <v>900</v>
      </c>
      <c r="B902" s="2" t="s">
        <v>841</v>
      </c>
      <c r="C902" s="2" t="s">
        <v>4</v>
      </c>
      <c r="D902" s="9" t="s">
        <v>623</v>
      </c>
      <c r="E902" s="3" t="s">
        <v>658</v>
      </c>
    </row>
    <row r="903" spans="1:5" hidden="1" x14ac:dyDescent="0.3">
      <c r="A903" s="2">
        <v>901</v>
      </c>
      <c r="B903" s="2" t="s">
        <v>842</v>
      </c>
      <c r="C903" s="2" t="s">
        <v>4</v>
      </c>
      <c r="D903" s="9" t="s">
        <v>623</v>
      </c>
      <c r="E903" s="3" t="s">
        <v>658</v>
      </c>
    </row>
    <row r="904" spans="1:5" hidden="1" x14ac:dyDescent="0.3">
      <c r="A904" s="2">
        <v>902</v>
      </c>
      <c r="B904" s="2" t="s">
        <v>625</v>
      </c>
      <c r="C904" s="2" t="s">
        <v>4</v>
      </c>
      <c r="D904" s="9" t="s">
        <v>623</v>
      </c>
      <c r="E904" s="3" t="s">
        <v>658</v>
      </c>
    </row>
    <row r="905" spans="1:5" hidden="1" x14ac:dyDescent="0.3">
      <c r="A905" s="2">
        <v>903</v>
      </c>
      <c r="B905" s="2" t="s">
        <v>843</v>
      </c>
      <c r="C905" s="2" t="s">
        <v>4</v>
      </c>
      <c r="D905" s="9" t="s">
        <v>623</v>
      </c>
      <c r="E905" s="3" t="s">
        <v>658</v>
      </c>
    </row>
    <row r="906" spans="1:5" hidden="1" x14ac:dyDescent="0.3">
      <c r="A906" s="2">
        <v>904</v>
      </c>
      <c r="B906" s="2" t="s">
        <v>657</v>
      </c>
      <c r="C906" s="2" t="s">
        <v>4</v>
      </c>
      <c r="D906" s="9" t="s">
        <v>623</v>
      </c>
      <c r="E906" s="3" t="s">
        <v>658</v>
      </c>
    </row>
    <row r="907" spans="1:5" hidden="1" x14ac:dyDescent="0.3">
      <c r="A907" s="2">
        <v>905</v>
      </c>
      <c r="B907" s="2" t="s">
        <v>627</v>
      </c>
      <c r="C907" s="2" t="s">
        <v>4</v>
      </c>
      <c r="D907" s="9" t="s">
        <v>623</v>
      </c>
      <c r="E907" s="3" t="s">
        <v>658</v>
      </c>
    </row>
    <row r="908" spans="1:5" hidden="1" x14ac:dyDescent="0.3">
      <c r="A908" s="2">
        <v>906</v>
      </c>
      <c r="B908" s="2" t="s">
        <v>628</v>
      </c>
      <c r="C908" s="2" t="s">
        <v>4</v>
      </c>
      <c r="D908" s="9" t="s">
        <v>623</v>
      </c>
      <c r="E908" s="3" t="s">
        <v>658</v>
      </c>
    </row>
    <row r="909" spans="1:5" hidden="1" x14ac:dyDescent="0.3">
      <c r="A909" s="2">
        <v>907</v>
      </c>
      <c r="B909" s="2" t="s">
        <v>844</v>
      </c>
      <c r="C909" s="2" t="s">
        <v>4</v>
      </c>
      <c r="D909" s="9" t="s">
        <v>623</v>
      </c>
      <c r="E909" s="3" t="s">
        <v>658</v>
      </c>
    </row>
    <row r="910" spans="1:5" hidden="1" x14ac:dyDescent="0.3">
      <c r="A910" s="2">
        <v>908</v>
      </c>
      <c r="B910" s="2" t="s">
        <v>404</v>
      </c>
      <c r="C910" s="2" t="s">
        <v>4</v>
      </c>
      <c r="D910" s="9" t="s">
        <v>623</v>
      </c>
      <c r="E910" s="3" t="s">
        <v>658</v>
      </c>
    </row>
    <row r="911" spans="1:5" hidden="1" x14ac:dyDescent="0.3">
      <c r="A911" s="2">
        <v>909</v>
      </c>
      <c r="B911" s="2" t="s">
        <v>845</v>
      </c>
      <c r="C911" s="2" t="s">
        <v>4</v>
      </c>
      <c r="D911" s="9" t="s">
        <v>623</v>
      </c>
      <c r="E911" s="3" t="s">
        <v>658</v>
      </c>
    </row>
    <row r="912" spans="1:5" hidden="1" x14ac:dyDescent="0.3">
      <c r="A912" s="2">
        <v>910</v>
      </c>
      <c r="B912" s="2" t="s">
        <v>846</v>
      </c>
      <c r="C912" s="2" t="s">
        <v>4</v>
      </c>
      <c r="D912" s="9" t="s">
        <v>623</v>
      </c>
      <c r="E912" s="3" t="s">
        <v>658</v>
      </c>
    </row>
    <row r="913" spans="1:5" hidden="1" x14ac:dyDescent="0.3">
      <c r="A913" s="2">
        <v>911</v>
      </c>
      <c r="B913" s="2" t="s">
        <v>847</v>
      </c>
      <c r="C913" s="2" t="s">
        <v>4</v>
      </c>
      <c r="D913" s="9" t="s">
        <v>623</v>
      </c>
      <c r="E913" s="3" t="s">
        <v>658</v>
      </c>
    </row>
    <row r="914" spans="1:5" hidden="1" x14ac:dyDescent="0.3">
      <c r="A914" s="2">
        <v>912</v>
      </c>
      <c r="B914" s="2" t="s">
        <v>848</v>
      </c>
      <c r="C914" s="2" t="s">
        <v>4</v>
      </c>
      <c r="D914" s="9" t="s">
        <v>623</v>
      </c>
      <c r="E914" s="3" t="s">
        <v>658</v>
      </c>
    </row>
    <row r="915" spans="1:5" hidden="1" x14ac:dyDescent="0.3">
      <c r="A915" s="2">
        <v>913</v>
      </c>
      <c r="B915" s="2" t="s">
        <v>406</v>
      </c>
      <c r="C915" s="2" t="s">
        <v>108</v>
      </c>
      <c r="D915" s="9" t="s">
        <v>623</v>
      </c>
      <c r="E915" s="3" t="s">
        <v>658</v>
      </c>
    </row>
    <row r="916" spans="1:5" hidden="1" x14ac:dyDescent="0.3">
      <c r="A916" s="2">
        <v>914</v>
      </c>
      <c r="B916" s="2" t="s">
        <v>849</v>
      </c>
      <c r="C916" s="2" t="s">
        <v>108</v>
      </c>
      <c r="D916" s="9" t="s">
        <v>623</v>
      </c>
      <c r="E916" s="3" t="s">
        <v>658</v>
      </c>
    </row>
    <row r="917" spans="1:5" hidden="1" x14ac:dyDescent="0.3">
      <c r="A917" s="2">
        <v>915</v>
      </c>
      <c r="B917" s="2" t="s">
        <v>407</v>
      </c>
      <c r="C917" s="2" t="s">
        <v>4</v>
      </c>
      <c r="D917" s="9" t="s">
        <v>623</v>
      </c>
      <c r="E917" s="3" t="s">
        <v>658</v>
      </c>
    </row>
    <row r="918" spans="1:5" hidden="1" x14ac:dyDescent="0.3">
      <c r="A918" s="2">
        <v>916</v>
      </c>
      <c r="B918" s="2" t="s">
        <v>425</v>
      </c>
      <c r="C918" s="2" t="s">
        <v>108</v>
      </c>
      <c r="D918" s="9" t="s">
        <v>623</v>
      </c>
      <c r="E918" s="3" t="s">
        <v>658</v>
      </c>
    </row>
    <row r="919" spans="1:5" hidden="1" x14ac:dyDescent="0.3">
      <c r="A919" s="2">
        <v>917</v>
      </c>
      <c r="B919" s="2" t="s">
        <v>850</v>
      </c>
      <c r="C919" s="2" t="s">
        <v>4</v>
      </c>
      <c r="D919" s="9" t="s">
        <v>623</v>
      </c>
      <c r="E919" s="3" t="s">
        <v>658</v>
      </c>
    </row>
    <row r="920" spans="1:5" hidden="1" x14ac:dyDescent="0.3">
      <c r="A920" s="2">
        <v>918</v>
      </c>
      <c r="B920" s="2" t="s">
        <v>851</v>
      </c>
      <c r="C920" s="2" t="s">
        <v>4</v>
      </c>
      <c r="D920" s="9" t="s">
        <v>623</v>
      </c>
      <c r="E920" s="3" t="s">
        <v>658</v>
      </c>
    </row>
    <row r="921" spans="1:5" hidden="1" x14ac:dyDescent="0.3">
      <c r="A921" s="2">
        <v>919</v>
      </c>
      <c r="B921" s="2" t="s">
        <v>852</v>
      </c>
      <c r="C921" s="2" t="s">
        <v>4</v>
      </c>
      <c r="D921" s="9" t="s">
        <v>623</v>
      </c>
      <c r="E921" s="3" t="s">
        <v>658</v>
      </c>
    </row>
    <row r="922" spans="1:5" hidden="1" x14ac:dyDescent="0.3">
      <c r="A922" s="2">
        <v>920</v>
      </c>
      <c r="B922" s="2" t="s">
        <v>853</v>
      </c>
      <c r="C922" s="2" t="s">
        <v>4</v>
      </c>
      <c r="D922" s="9" t="s">
        <v>623</v>
      </c>
      <c r="E922" s="3" t="s">
        <v>658</v>
      </c>
    </row>
    <row r="923" spans="1:5" hidden="1" x14ac:dyDescent="0.3">
      <c r="A923" s="2">
        <v>921</v>
      </c>
      <c r="B923" s="2" t="s">
        <v>854</v>
      </c>
      <c r="C923" s="2" t="s">
        <v>4</v>
      </c>
      <c r="D923" s="9" t="s">
        <v>623</v>
      </c>
      <c r="E923" s="3" t="s">
        <v>658</v>
      </c>
    </row>
    <row r="924" spans="1:5" hidden="1" x14ac:dyDescent="0.3">
      <c r="A924" s="2">
        <v>922</v>
      </c>
      <c r="B924" s="2" t="s">
        <v>855</v>
      </c>
      <c r="C924" s="2" t="s">
        <v>108</v>
      </c>
      <c r="D924" s="9" t="s">
        <v>623</v>
      </c>
      <c r="E924" s="3" t="s">
        <v>658</v>
      </c>
    </row>
    <row r="925" spans="1:5" hidden="1" x14ac:dyDescent="0.3">
      <c r="A925" s="2">
        <v>923</v>
      </c>
      <c r="B925" s="2" t="s">
        <v>856</v>
      </c>
      <c r="C925" s="2" t="s">
        <v>108</v>
      </c>
      <c r="D925" s="9" t="s">
        <v>623</v>
      </c>
      <c r="E925" s="3" t="s">
        <v>658</v>
      </c>
    </row>
    <row r="926" spans="1:5" hidden="1" x14ac:dyDescent="0.3">
      <c r="A926" s="2">
        <v>924</v>
      </c>
      <c r="B926" s="2" t="s">
        <v>429</v>
      </c>
      <c r="C926" s="2" t="s">
        <v>108</v>
      </c>
      <c r="D926" s="9" t="s">
        <v>623</v>
      </c>
      <c r="E926" s="3" t="s">
        <v>658</v>
      </c>
    </row>
    <row r="927" spans="1:5" hidden="1" x14ac:dyDescent="0.3">
      <c r="A927" s="2">
        <v>925</v>
      </c>
      <c r="B927" s="2" t="s">
        <v>428</v>
      </c>
      <c r="C927" s="2" t="s">
        <v>108</v>
      </c>
      <c r="D927" s="9" t="s">
        <v>623</v>
      </c>
      <c r="E927" s="3" t="s">
        <v>658</v>
      </c>
    </row>
    <row r="928" spans="1:5" hidden="1" x14ac:dyDescent="0.3">
      <c r="A928" s="2">
        <v>926</v>
      </c>
      <c r="B928" s="2" t="s">
        <v>426</v>
      </c>
      <c r="C928" s="2" t="s">
        <v>108</v>
      </c>
      <c r="D928" s="9" t="s">
        <v>623</v>
      </c>
      <c r="E928" s="3" t="s">
        <v>658</v>
      </c>
    </row>
    <row r="929" spans="1:5" hidden="1" x14ac:dyDescent="0.3">
      <c r="A929" s="2">
        <v>927</v>
      </c>
      <c r="B929" s="2" t="s">
        <v>857</v>
      </c>
      <c r="C929" s="2" t="s">
        <v>4</v>
      </c>
      <c r="D929" s="9" t="s">
        <v>623</v>
      </c>
      <c r="E929" s="3" t="s">
        <v>658</v>
      </c>
    </row>
    <row r="930" spans="1:5" hidden="1" x14ac:dyDescent="0.3">
      <c r="A930" s="2">
        <v>928</v>
      </c>
      <c r="B930" s="2" t="s">
        <v>858</v>
      </c>
      <c r="C930" s="2" t="s">
        <v>108</v>
      </c>
      <c r="D930" s="9" t="s">
        <v>623</v>
      </c>
      <c r="E930" s="3" t="s">
        <v>658</v>
      </c>
    </row>
    <row r="931" spans="1:5" hidden="1" x14ac:dyDescent="0.3">
      <c r="A931" s="2">
        <v>929</v>
      </c>
      <c r="B931" s="2" t="s">
        <v>859</v>
      </c>
      <c r="C931" s="2" t="s">
        <v>108</v>
      </c>
      <c r="D931" s="9" t="s">
        <v>623</v>
      </c>
      <c r="E931" s="3" t="s">
        <v>658</v>
      </c>
    </row>
    <row r="932" spans="1:5" hidden="1" x14ac:dyDescent="0.3">
      <c r="A932" s="2">
        <v>930</v>
      </c>
      <c r="B932" s="2" t="s">
        <v>860</v>
      </c>
      <c r="C932" s="2" t="s">
        <v>108</v>
      </c>
      <c r="D932" s="9" t="s">
        <v>623</v>
      </c>
      <c r="E932" s="3" t="s">
        <v>658</v>
      </c>
    </row>
    <row r="933" spans="1:5" hidden="1" x14ac:dyDescent="0.3">
      <c r="A933" s="2">
        <v>931</v>
      </c>
      <c r="B933" s="2" t="s">
        <v>861</v>
      </c>
      <c r="C933" s="2" t="s">
        <v>108</v>
      </c>
      <c r="D933" s="9" t="s">
        <v>623</v>
      </c>
      <c r="E933" s="3" t="s">
        <v>658</v>
      </c>
    </row>
    <row r="934" spans="1:5" hidden="1" x14ac:dyDescent="0.3">
      <c r="A934" s="2">
        <v>932</v>
      </c>
      <c r="B934" s="2" t="s">
        <v>616</v>
      </c>
      <c r="C934" s="2" t="s">
        <v>4</v>
      </c>
      <c r="D934" s="9" t="s">
        <v>534</v>
      </c>
      <c r="E934" s="3" t="s">
        <v>658</v>
      </c>
    </row>
    <row r="935" spans="1:5" hidden="1" x14ac:dyDescent="0.3">
      <c r="A935" s="2">
        <v>933</v>
      </c>
      <c r="B935" s="2" t="s">
        <v>617</v>
      </c>
      <c r="C935" s="2" t="s">
        <v>4</v>
      </c>
      <c r="D935" s="9" t="s">
        <v>534</v>
      </c>
      <c r="E935" s="3" t="s">
        <v>658</v>
      </c>
    </row>
    <row r="936" spans="1:5" hidden="1" x14ac:dyDescent="0.3">
      <c r="A936" s="2">
        <v>934</v>
      </c>
      <c r="B936" s="2" t="s">
        <v>619</v>
      </c>
      <c r="C936" s="2" t="s">
        <v>4</v>
      </c>
      <c r="D936" s="9" t="s">
        <v>534</v>
      </c>
      <c r="E936" s="3" t="s">
        <v>658</v>
      </c>
    </row>
    <row r="937" spans="1:5" hidden="1" x14ac:dyDescent="0.3">
      <c r="A937" s="2">
        <v>935</v>
      </c>
      <c r="B937" s="2" t="s">
        <v>618</v>
      </c>
      <c r="C937" s="2" t="s">
        <v>4</v>
      </c>
      <c r="D937" s="9" t="s">
        <v>534</v>
      </c>
      <c r="E937" s="3" t="s">
        <v>658</v>
      </c>
    </row>
    <row r="938" spans="1:5" hidden="1" x14ac:dyDescent="0.3">
      <c r="A938" s="2">
        <v>936</v>
      </c>
      <c r="B938" s="2" t="s">
        <v>862</v>
      </c>
      <c r="C938" s="2" t="s">
        <v>4</v>
      </c>
      <c r="D938" s="9" t="s">
        <v>534</v>
      </c>
      <c r="E938" s="3" t="s">
        <v>658</v>
      </c>
    </row>
    <row r="939" spans="1:5" hidden="1" x14ac:dyDescent="0.3">
      <c r="A939" s="2">
        <v>937</v>
      </c>
      <c r="B939" s="2" t="s">
        <v>863</v>
      </c>
      <c r="C939" s="2" t="s">
        <v>4</v>
      </c>
      <c r="D939" s="9" t="s">
        <v>534</v>
      </c>
      <c r="E939" s="3" t="s">
        <v>658</v>
      </c>
    </row>
    <row r="940" spans="1:5" hidden="1" x14ac:dyDescent="0.3">
      <c r="A940" s="2">
        <v>938</v>
      </c>
      <c r="B940" s="2" t="s">
        <v>655</v>
      </c>
      <c r="C940" s="2" t="s">
        <v>4</v>
      </c>
      <c r="D940" s="9" t="s">
        <v>534</v>
      </c>
      <c r="E940" s="3" t="s">
        <v>658</v>
      </c>
    </row>
    <row r="941" spans="1:5" hidden="1" x14ac:dyDescent="0.3">
      <c r="A941" s="2">
        <v>939</v>
      </c>
      <c r="B941" s="2" t="s">
        <v>864</v>
      </c>
      <c r="C941" s="2" t="s">
        <v>4</v>
      </c>
      <c r="D941" s="9" t="s">
        <v>534</v>
      </c>
      <c r="E941" s="3" t="s">
        <v>658</v>
      </c>
    </row>
    <row r="942" spans="1:5" hidden="1" x14ac:dyDescent="0.3">
      <c r="A942" s="2">
        <v>940</v>
      </c>
      <c r="B942" s="2" t="s">
        <v>865</v>
      </c>
      <c r="C942" s="2" t="s">
        <v>4</v>
      </c>
      <c r="D942" s="9" t="s">
        <v>534</v>
      </c>
      <c r="E942" s="3" t="s">
        <v>658</v>
      </c>
    </row>
    <row r="943" spans="1:5" hidden="1" x14ac:dyDescent="0.3">
      <c r="A943" s="2">
        <v>941</v>
      </c>
      <c r="B943" s="2" t="s">
        <v>866</v>
      </c>
      <c r="C943" s="2" t="s">
        <v>4</v>
      </c>
      <c r="D943" s="9" t="s">
        <v>534</v>
      </c>
      <c r="E943" s="3" t="s">
        <v>658</v>
      </c>
    </row>
    <row r="944" spans="1:5" hidden="1" x14ac:dyDescent="0.3">
      <c r="A944" s="2">
        <v>942</v>
      </c>
      <c r="B944" s="2" t="s">
        <v>867</v>
      </c>
      <c r="C944" s="2" t="s">
        <v>4</v>
      </c>
      <c r="D944" s="9" t="s">
        <v>534</v>
      </c>
      <c r="E944" s="3" t="s">
        <v>658</v>
      </c>
    </row>
    <row r="945" spans="1:5" hidden="1" x14ac:dyDescent="0.3">
      <c r="A945" s="2">
        <v>943</v>
      </c>
      <c r="B945" s="2" t="s">
        <v>868</v>
      </c>
      <c r="C945" s="2" t="s">
        <v>4</v>
      </c>
      <c r="D945" s="9" t="s">
        <v>534</v>
      </c>
      <c r="E945" s="3" t="s">
        <v>658</v>
      </c>
    </row>
    <row r="946" spans="1:5" hidden="1" x14ac:dyDescent="0.3">
      <c r="A946" s="2">
        <v>944</v>
      </c>
      <c r="B946" s="2" t="s">
        <v>869</v>
      </c>
      <c r="C946" s="2" t="s">
        <v>4</v>
      </c>
      <c r="D946" s="9" t="s">
        <v>534</v>
      </c>
      <c r="E946" s="3" t="s">
        <v>658</v>
      </c>
    </row>
    <row r="947" spans="1:5" hidden="1" x14ac:dyDescent="0.3">
      <c r="A947" s="2">
        <v>945</v>
      </c>
      <c r="B947" s="2" t="s">
        <v>516</v>
      </c>
      <c r="C947" s="2" t="s">
        <v>108</v>
      </c>
      <c r="D947" s="9" t="s">
        <v>534</v>
      </c>
      <c r="E947" s="3" t="s">
        <v>658</v>
      </c>
    </row>
    <row r="948" spans="1:5" hidden="1" x14ac:dyDescent="0.3">
      <c r="A948" s="2">
        <v>946</v>
      </c>
      <c r="B948" s="2" t="s">
        <v>870</v>
      </c>
      <c r="C948" s="2" t="s">
        <v>4</v>
      </c>
      <c r="D948" s="9" t="s">
        <v>534</v>
      </c>
      <c r="E948" s="3" t="s">
        <v>658</v>
      </c>
    </row>
    <row r="949" spans="1:5" hidden="1" x14ac:dyDescent="0.3">
      <c r="A949" s="2">
        <v>947</v>
      </c>
      <c r="B949" s="2" t="s">
        <v>871</v>
      </c>
      <c r="C949" s="2" t="s">
        <v>4</v>
      </c>
      <c r="D949" s="9" t="s">
        <v>534</v>
      </c>
      <c r="E949" s="3" t="s">
        <v>658</v>
      </c>
    </row>
    <row r="950" spans="1:5" hidden="1" x14ac:dyDescent="0.3">
      <c r="A950" s="2">
        <v>948</v>
      </c>
      <c r="B950" s="2" t="s">
        <v>496</v>
      </c>
      <c r="C950" s="2" t="s">
        <v>4</v>
      </c>
      <c r="D950" s="9" t="s">
        <v>534</v>
      </c>
      <c r="E950" s="3" t="s">
        <v>658</v>
      </c>
    </row>
    <row r="951" spans="1:5" hidden="1" x14ac:dyDescent="0.3">
      <c r="A951" s="2">
        <v>949</v>
      </c>
      <c r="B951" s="2" t="s">
        <v>510</v>
      </c>
      <c r="C951" s="2" t="s">
        <v>108</v>
      </c>
      <c r="D951" s="9" t="s">
        <v>534</v>
      </c>
      <c r="E951" s="3" t="s">
        <v>658</v>
      </c>
    </row>
    <row r="952" spans="1:5" hidden="1" x14ac:dyDescent="0.3">
      <c r="A952" s="2">
        <v>950</v>
      </c>
      <c r="B952" s="2" t="s">
        <v>508</v>
      </c>
      <c r="C952" s="2" t="s">
        <v>108</v>
      </c>
      <c r="D952" s="9" t="s">
        <v>534</v>
      </c>
      <c r="E952" s="3" t="s">
        <v>658</v>
      </c>
    </row>
    <row r="953" spans="1:5" hidden="1" x14ac:dyDescent="0.3">
      <c r="A953" s="2">
        <v>951</v>
      </c>
      <c r="B953" s="2" t="s">
        <v>872</v>
      </c>
      <c r="C953" s="2" t="s">
        <v>4</v>
      </c>
      <c r="D953" s="9" t="s">
        <v>534</v>
      </c>
      <c r="E953" s="3" t="s">
        <v>658</v>
      </c>
    </row>
    <row r="954" spans="1:5" hidden="1" x14ac:dyDescent="0.3">
      <c r="A954" s="2">
        <v>952</v>
      </c>
      <c r="B954" s="2" t="s">
        <v>873</v>
      </c>
      <c r="C954" s="2" t="s">
        <v>4</v>
      </c>
      <c r="D954" s="9" t="s">
        <v>534</v>
      </c>
      <c r="E954" s="3" t="s">
        <v>658</v>
      </c>
    </row>
    <row r="955" spans="1:5" hidden="1" x14ac:dyDescent="0.3">
      <c r="A955" s="2">
        <v>953</v>
      </c>
      <c r="B955" s="2" t="s">
        <v>874</v>
      </c>
      <c r="C955" s="2" t="s">
        <v>4</v>
      </c>
      <c r="D955" s="9" t="s">
        <v>534</v>
      </c>
      <c r="E955" s="3" t="s">
        <v>658</v>
      </c>
    </row>
    <row r="956" spans="1:5" hidden="1" x14ac:dyDescent="0.3">
      <c r="A956" s="2">
        <v>954</v>
      </c>
      <c r="B956" s="2" t="s">
        <v>875</v>
      </c>
      <c r="C956" s="2" t="s">
        <v>4</v>
      </c>
      <c r="D956" s="9" t="s">
        <v>534</v>
      </c>
      <c r="E956" s="3" t="s">
        <v>658</v>
      </c>
    </row>
    <row r="957" spans="1:5" hidden="1" x14ac:dyDescent="0.3">
      <c r="A957" s="2">
        <v>955</v>
      </c>
      <c r="B957" s="2" t="s">
        <v>876</v>
      </c>
      <c r="C957" s="2" t="s">
        <v>108</v>
      </c>
      <c r="D957" s="9" t="s">
        <v>534</v>
      </c>
      <c r="E957" s="3" t="s">
        <v>658</v>
      </c>
    </row>
    <row r="958" spans="1:5" hidden="1" x14ac:dyDescent="0.3">
      <c r="A958" s="2">
        <v>956</v>
      </c>
      <c r="B958" s="2" t="s">
        <v>877</v>
      </c>
      <c r="C958" s="2" t="s">
        <v>108</v>
      </c>
      <c r="D958" s="9" t="s">
        <v>534</v>
      </c>
      <c r="E958" s="3" t="s">
        <v>658</v>
      </c>
    </row>
    <row r="959" spans="1:5" hidden="1" x14ac:dyDescent="0.3">
      <c r="A959" s="2">
        <v>957</v>
      </c>
      <c r="B959" s="2" t="s">
        <v>519</v>
      </c>
      <c r="C959" s="2" t="s">
        <v>108</v>
      </c>
      <c r="D959" s="9" t="s">
        <v>534</v>
      </c>
      <c r="E959" s="3" t="s">
        <v>658</v>
      </c>
    </row>
    <row r="960" spans="1:5" hidden="1" x14ac:dyDescent="0.3">
      <c r="A960" s="2">
        <v>958</v>
      </c>
      <c r="B960" s="2" t="s">
        <v>533</v>
      </c>
      <c r="C960" s="2" t="s">
        <v>108</v>
      </c>
      <c r="D960" s="9" t="s">
        <v>534</v>
      </c>
      <c r="E960" s="3" t="s">
        <v>658</v>
      </c>
    </row>
    <row r="961" spans="1:5" hidden="1" x14ac:dyDescent="0.3">
      <c r="A961" s="2">
        <v>959</v>
      </c>
      <c r="B961" s="2" t="s">
        <v>509</v>
      </c>
      <c r="C961" s="2" t="s">
        <v>108</v>
      </c>
      <c r="D961" s="9" t="s">
        <v>534</v>
      </c>
      <c r="E961" s="3" t="s">
        <v>658</v>
      </c>
    </row>
    <row r="962" spans="1:5" hidden="1" x14ac:dyDescent="0.3">
      <c r="A962" s="2">
        <v>960</v>
      </c>
      <c r="B962" s="2" t="s">
        <v>526</v>
      </c>
      <c r="C962" s="2" t="s">
        <v>108</v>
      </c>
      <c r="D962" s="9" t="s">
        <v>534</v>
      </c>
      <c r="E962" s="3" t="s">
        <v>658</v>
      </c>
    </row>
    <row r="963" spans="1:5" hidden="1" x14ac:dyDescent="0.3">
      <c r="A963" s="2">
        <v>961</v>
      </c>
      <c r="B963" s="2" t="s">
        <v>878</v>
      </c>
      <c r="C963" s="2" t="s">
        <v>108</v>
      </c>
      <c r="D963" s="9" t="s">
        <v>534</v>
      </c>
      <c r="E963" s="3" t="s">
        <v>658</v>
      </c>
    </row>
    <row r="964" spans="1:5" hidden="1" x14ac:dyDescent="0.3">
      <c r="A964" s="2">
        <v>962</v>
      </c>
      <c r="B964" s="2" t="s">
        <v>879</v>
      </c>
      <c r="C964" s="2" t="s">
        <v>4</v>
      </c>
      <c r="D964" s="9" t="s">
        <v>534</v>
      </c>
      <c r="E964" s="3" t="s">
        <v>658</v>
      </c>
    </row>
    <row r="965" spans="1:5" hidden="1" x14ac:dyDescent="0.3">
      <c r="A965" s="2">
        <v>963</v>
      </c>
      <c r="B965" s="2" t="s">
        <v>880</v>
      </c>
      <c r="C965" s="2" t="s">
        <v>4</v>
      </c>
      <c r="D965" s="9" t="s">
        <v>534</v>
      </c>
      <c r="E965" s="3" t="s">
        <v>658</v>
      </c>
    </row>
    <row r="966" spans="1:5" hidden="1" x14ac:dyDescent="0.3">
      <c r="A966" s="2">
        <v>964</v>
      </c>
      <c r="B966" s="2" t="s">
        <v>881</v>
      </c>
      <c r="C966" s="2" t="s">
        <v>108</v>
      </c>
      <c r="D966" s="9" t="s">
        <v>534</v>
      </c>
      <c r="E966" s="3" t="s">
        <v>658</v>
      </c>
    </row>
    <row r="967" spans="1:5" hidden="1" x14ac:dyDescent="0.3">
      <c r="A967" s="2">
        <v>965</v>
      </c>
      <c r="B967" s="2" t="s">
        <v>882</v>
      </c>
      <c r="C967" s="2" t="s">
        <v>108</v>
      </c>
      <c r="D967" s="9" t="s">
        <v>534</v>
      </c>
      <c r="E967" s="3" t="s">
        <v>658</v>
      </c>
    </row>
    <row r="968" spans="1:5" hidden="1" x14ac:dyDescent="0.3">
      <c r="A968" s="2">
        <v>966</v>
      </c>
      <c r="B968" s="2" t="s">
        <v>865</v>
      </c>
      <c r="C968" s="2" t="s">
        <v>4</v>
      </c>
      <c r="D968" s="9" t="s">
        <v>534</v>
      </c>
      <c r="E968" s="3" t="s">
        <v>658</v>
      </c>
    </row>
    <row r="969" spans="1:5" hidden="1" x14ac:dyDescent="0.3">
      <c r="A969" s="2">
        <v>967</v>
      </c>
      <c r="B969" s="2" t="s">
        <v>620</v>
      </c>
      <c r="C969" s="2" t="s">
        <v>4</v>
      </c>
      <c r="D969" s="9" t="s">
        <v>484</v>
      </c>
      <c r="E969" s="3" t="s">
        <v>658</v>
      </c>
    </row>
    <row r="970" spans="1:5" hidden="1" x14ac:dyDescent="0.3">
      <c r="A970" s="2">
        <v>968</v>
      </c>
      <c r="B970" s="2" t="s">
        <v>476</v>
      </c>
      <c r="C970" s="2" t="s">
        <v>4</v>
      </c>
      <c r="D970" s="9" t="s">
        <v>484</v>
      </c>
      <c r="E970" s="3" t="s">
        <v>658</v>
      </c>
    </row>
    <row r="971" spans="1:5" hidden="1" x14ac:dyDescent="0.3">
      <c r="A971" s="2">
        <v>969</v>
      </c>
      <c r="B971" s="2" t="s">
        <v>478</v>
      </c>
      <c r="C971" s="2" t="s">
        <v>4</v>
      </c>
      <c r="D971" s="9" t="s">
        <v>484</v>
      </c>
      <c r="E971" s="3" t="s">
        <v>658</v>
      </c>
    </row>
    <row r="972" spans="1:5" hidden="1" x14ac:dyDescent="0.3">
      <c r="A972" s="2">
        <v>970</v>
      </c>
      <c r="B972" s="2" t="s">
        <v>469</v>
      </c>
      <c r="C972" s="2" t="s">
        <v>4</v>
      </c>
      <c r="D972" s="9" t="s">
        <v>484</v>
      </c>
      <c r="E972" s="3" t="s">
        <v>658</v>
      </c>
    </row>
    <row r="973" spans="1:5" hidden="1" x14ac:dyDescent="0.3">
      <c r="A973" s="2">
        <v>971</v>
      </c>
      <c r="B973" s="2" t="s">
        <v>470</v>
      </c>
      <c r="C973" s="2" t="s">
        <v>4</v>
      </c>
      <c r="D973" s="9" t="s">
        <v>484</v>
      </c>
      <c r="E973" s="3" t="s">
        <v>658</v>
      </c>
    </row>
    <row r="974" spans="1:5" hidden="1" x14ac:dyDescent="0.3">
      <c r="A974" s="2">
        <v>972</v>
      </c>
      <c r="B974" s="2" t="s">
        <v>473</v>
      </c>
      <c r="C974" s="2" t="s">
        <v>4</v>
      </c>
      <c r="D974" s="9" t="s">
        <v>484</v>
      </c>
      <c r="E974" s="3" t="s">
        <v>658</v>
      </c>
    </row>
    <row r="975" spans="1:5" hidden="1" x14ac:dyDescent="0.3">
      <c r="A975" s="2">
        <v>973</v>
      </c>
      <c r="B975" s="2" t="s">
        <v>656</v>
      </c>
      <c r="C975" s="2" t="s">
        <v>4</v>
      </c>
      <c r="D975" s="9" t="s">
        <v>484</v>
      </c>
      <c r="E975" s="3" t="s">
        <v>658</v>
      </c>
    </row>
    <row r="976" spans="1:5" hidden="1" x14ac:dyDescent="0.3">
      <c r="A976" s="2">
        <v>974</v>
      </c>
      <c r="B976" s="2" t="s">
        <v>883</v>
      </c>
      <c r="C976" s="2" t="s">
        <v>4</v>
      </c>
      <c r="D976" s="9" t="s">
        <v>484</v>
      </c>
      <c r="E976" s="3" t="s">
        <v>658</v>
      </c>
    </row>
    <row r="977" spans="1:5" hidden="1" x14ac:dyDescent="0.3">
      <c r="A977" s="2">
        <v>975</v>
      </c>
      <c r="B977" s="2" t="s">
        <v>621</v>
      </c>
      <c r="C977" s="2" t="s">
        <v>4</v>
      </c>
      <c r="D977" s="9" t="s">
        <v>484</v>
      </c>
      <c r="E977" s="3" t="s">
        <v>658</v>
      </c>
    </row>
    <row r="978" spans="1:5" hidden="1" x14ac:dyDescent="0.3">
      <c r="A978" s="2">
        <v>976</v>
      </c>
      <c r="B978" s="2" t="s">
        <v>884</v>
      </c>
      <c r="C978" s="2" t="s">
        <v>4</v>
      </c>
      <c r="D978" s="9" t="s">
        <v>484</v>
      </c>
      <c r="E978" s="3" t="s">
        <v>658</v>
      </c>
    </row>
    <row r="979" spans="1:5" hidden="1" x14ac:dyDescent="0.3">
      <c r="A979" s="2">
        <v>977</v>
      </c>
      <c r="B979" s="2" t="s">
        <v>475</v>
      </c>
      <c r="C979" s="2" t="s">
        <v>4</v>
      </c>
      <c r="D979" s="9" t="s">
        <v>484</v>
      </c>
      <c r="E979" s="3" t="s">
        <v>658</v>
      </c>
    </row>
    <row r="980" spans="1:5" hidden="1" x14ac:dyDescent="0.3">
      <c r="A980" s="2">
        <v>978</v>
      </c>
      <c r="B980" s="2" t="s">
        <v>471</v>
      </c>
      <c r="C980" s="2" t="s">
        <v>4</v>
      </c>
      <c r="D980" s="9" t="s">
        <v>484</v>
      </c>
      <c r="E980" s="3" t="s">
        <v>658</v>
      </c>
    </row>
    <row r="981" spans="1:5" hidden="1" x14ac:dyDescent="0.3">
      <c r="A981" s="2">
        <v>979</v>
      </c>
      <c r="B981" s="2" t="s">
        <v>472</v>
      </c>
      <c r="C981" s="2" t="s">
        <v>4</v>
      </c>
      <c r="D981" s="9" t="s">
        <v>484</v>
      </c>
      <c r="E981" s="3" t="s">
        <v>658</v>
      </c>
    </row>
    <row r="982" spans="1:5" hidden="1" x14ac:dyDescent="0.3">
      <c r="A982" s="2">
        <v>980</v>
      </c>
      <c r="B982" s="2" t="s">
        <v>467</v>
      </c>
      <c r="C982" s="2" t="s">
        <v>4</v>
      </c>
      <c r="D982" s="9" t="s">
        <v>484</v>
      </c>
      <c r="E982" s="3" t="s">
        <v>658</v>
      </c>
    </row>
    <row r="983" spans="1:5" hidden="1" x14ac:dyDescent="0.3">
      <c r="A983" s="2">
        <v>981</v>
      </c>
      <c r="B983" s="2" t="s">
        <v>466</v>
      </c>
      <c r="C983" s="2" t="s">
        <v>4</v>
      </c>
      <c r="D983" s="9" t="s">
        <v>484</v>
      </c>
      <c r="E983" s="3" t="s">
        <v>658</v>
      </c>
    </row>
    <row r="984" spans="1:5" hidden="1" x14ac:dyDescent="0.3">
      <c r="A984" s="2">
        <v>982</v>
      </c>
      <c r="B984" s="2" t="s">
        <v>885</v>
      </c>
      <c r="C984" s="2" t="s">
        <v>4</v>
      </c>
      <c r="D984" s="9" t="s">
        <v>484</v>
      </c>
      <c r="E984" s="3" t="s">
        <v>658</v>
      </c>
    </row>
    <row r="985" spans="1:5" hidden="1" x14ac:dyDescent="0.3">
      <c r="A985" s="2">
        <v>983</v>
      </c>
      <c r="B985" s="2" t="s">
        <v>886</v>
      </c>
      <c r="C985" s="2" t="s">
        <v>4</v>
      </c>
      <c r="D985" s="9" t="s">
        <v>484</v>
      </c>
      <c r="E985" s="3" t="s">
        <v>658</v>
      </c>
    </row>
    <row r="986" spans="1:5" hidden="1" x14ac:dyDescent="0.3">
      <c r="A986" s="2">
        <v>984</v>
      </c>
      <c r="B986" s="2" t="s">
        <v>887</v>
      </c>
      <c r="C986" s="2" t="s">
        <v>4</v>
      </c>
      <c r="D986" s="9" t="s">
        <v>484</v>
      </c>
      <c r="E986" s="3" t="s">
        <v>658</v>
      </c>
    </row>
    <row r="987" spans="1:5" hidden="1" x14ac:dyDescent="0.3">
      <c r="A987" s="2">
        <v>985</v>
      </c>
      <c r="B987" s="2" t="s">
        <v>888</v>
      </c>
      <c r="C987" s="2" t="s">
        <v>4</v>
      </c>
      <c r="D987" s="9" t="s">
        <v>484</v>
      </c>
      <c r="E987" s="3" t="s">
        <v>658</v>
      </c>
    </row>
    <row r="988" spans="1:5" hidden="1" x14ac:dyDescent="0.3">
      <c r="A988" s="2">
        <v>986</v>
      </c>
      <c r="B988" s="2" t="s">
        <v>889</v>
      </c>
      <c r="C988" s="2" t="s">
        <v>4</v>
      </c>
      <c r="D988" s="9" t="s">
        <v>484</v>
      </c>
      <c r="E988" s="3" t="s">
        <v>658</v>
      </c>
    </row>
    <row r="989" spans="1:5" hidden="1" x14ac:dyDescent="0.3">
      <c r="A989" s="2">
        <v>987</v>
      </c>
      <c r="B989" s="2" t="s">
        <v>890</v>
      </c>
      <c r="C989" s="2" t="s">
        <v>4</v>
      </c>
      <c r="D989" s="9" t="s">
        <v>484</v>
      </c>
      <c r="E989" s="3" t="s">
        <v>658</v>
      </c>
    </row>
    <row r="990" spans="1:5" hidden="1" x14ac:dyDescent="0.3">
      <c r="A990" s="2">
        <v>988</v>
      </c>
      <c r="B990" s="2" t="s">
        <v>460</v>
      </c>
      <c r="C990" s="2" t="s">
        <v>108</v>
      </c>
      <c r="D990" s="9" t="s">
        <v>484</v>
      </c>
      <c r="E990" s="3" t="s">
        <v>658</v>
      </c>
    </row>
    <row r="991" spans="1:5" hidden="1" x14ac:dyDescent="0.3">
      <c r="A991" s="2">
        <v>989</v>
      </c>
      <c r="B991" s="2" t="s">
        <v>461</v>
      </c>
      <c r="C991" s="2" t="s">
        <v>108</v>
      </c>
      <c r="D991" s="9" t="s">
        <v>484</v>
      </c>
      <c r="E991" s="3" t="s">
        <v>658</v>
      </c>
    </row>
    <row r="992" spans="1:5" hidden="1" x14ac:dyDescent="0.3">
      <c r="A992" s="2">
        <v>990</v>
      </c>
      <c r="B992" s="2" t="s">
        <v>462</v>
      </c>
      <c r="C992" s="2" t="s">
        <v>108</v>
      </c>
      <c r="D992" s="9" t="s">
        <v>484</v>
      </c>
      <c r="E992" s="3" t="s">
        <v>658</v>
      </c>
    </row>
    <row r="993" spans="1:5" hidden="1" x14ac:dyDescent="0.3">
      <c r="A993" s="2">
        <v>991</v>
      </c>
      <c r="B993" s="2" t="s">
        <v>465</v>
      </c>
      <c r="C993" s="2" t="s">
        <v>108</v>
      </c>
      <c r="D993" s="9" t="s">
        <v>484</v>
      </c>
      <c r="E993" s="3" t="s">
        <v>658</v>
      </c>
    </row>
    <row r="994" spans="1:5" hidden="1" x14ac:dyDescent="0.3">
      <c r="A994" s="2">
        <v>992</v>
      </c>
      <c r="B994" s="2" t="s">
        <v>479</v>
      </c>
      <c r="C994" s="2" t="s">
        <v>4</v>
      </c>
      <c r="D994" s="9" t="s">
        <v>484</v>
      </c>
      <c r="E994" s="3" t="s">
        <v>658</v>
      </c>
    </row>
    <row r="995" spans="1:5" hidden="1" x14ac:dyDescent="0.3">
      <c r="A995" s="2">
        <v>993</v>
      </c>
      <c r="B995" s="2" t="s">
        <v>474</v>
      </c>
      <c r="C995" s="2" t="s">
        <v>4</v>
      </c>
      <c r="D995" s="9" t="s">
        <v>484</v>
      </c>
      <c r="E995" s="3" t="s">
        <v>658</v>
      </c>
    </row>
    <row r="996" spans="1:5" hidden="1" x14ac:dyDescent="0.3">
      <c r="A996" s="2">
        <v>994</v>
      </c>
      <c r="B996" s="2" t="s">
        <v>477</v>
      </c>
      <c r="C996" s="2" t="s">
        <v>4</v>
      </c>
      <c r="D996" s="9" t="s">
        <v>484</v>
      </c>
      <c r="E996" s="3" t="s">
        <v>658</v>
      </c>
    </row>
    <row r="997" spans="1:5" hidden="1" x14ac:dyDescent="0.3">
      <c r="A997" s="2">
        <v>995</v>
      </c>
      <c r="B997" s="2" t="s">
        <v>891</v>
      </c>
      <c r="C997" s="2" t="s">
        <v>4</v>
      </c>
      <c r="D997" s="9" t="s">
        <v>484</v>
      </c>
      <c r="E997" s="3" t="s">
        <v>658</v>
      </c>
    </row>
    <row r="998" spans="1:5" hidden="1" x14ac:dyDescent="0.3">
      <c r="A998" s="2">
        <v>996</v>
      </c>
      <c r="B998" s="2" t="s">
        <v>892</v>
      </c>
      <c r="C998" s="2" t="s">
        <v>4</v>
      </c>
      <c r="D998" s="9" t="s">
        <v>484</v>
      </c>
      <c r="E998" s="3" t="s">
        <v>658</v>
      </c>
    </row>
    <row r="999" spans="1:5" hidden="1" x14ac:dyDescent="0.3">
      <c r="A999" s="2">
        <v>997</v>
      </c>
      <c r="B999" s="2" t="s">
        <v>454</v>
      </c>
      <c r="C999" s="2" t="s">
        <v>108</v>
      </c>
      <c r="D999" s="9" t="s">
        <v>484</v>
      </c>
      <c r="E999" s="3" t="s">
        <v>658</v>
      </c>
    </row>
    <row r="1000" spans="1:5" hidden="1" x14ac:dyDescent="0.3">
      <c r="A1000" s="2">
        <v>998</v>
      </c>
      <c r="B1000" s="2" t="s">
        <v>455</v>
      </c>
      <c r="C1000" s="2" t="s">
        <v>108</v>
      </c>
      <c r="D1000" s="9" t="s">
        <v>484</v>
      </c>
      <c r="E1000" s="3" t="s">
        <v>658</v>
      </c>
    </row>
    <row r="1001" spans="1:5" hidden="1" x14ac:dyDescent="0.3">
      <c r="A1001" s="2">
        <v>999</v>
      </c>
      <c r="B1001" s="2" t="s">
        <v>464</v>
      </c>
      <c r="C1001" s="2" t="s">
        <v>108</v>
      </c>
      <c r="D1001" s="9" t="s">
        <v>484</v>
      </c>
      <c r="E1001" s="3" t="s">
        <v>658</v>
      </c>
    </row>
    <row r="1002" spans="1:5" hidden="1" x14ac:dyDescent="0.3">
      <c r="A1002" s="2">
        <v>1000</v>
      </c>
      <c r="B1002" s="2" t="s">
        <v>463</v>
      </c>
      <c r="C1002" s="2" t="s">
        <v>108</v>
      </c>
      <c r="D1002" s="9" t="s">
        <v>484</v>
      </c>
      <c r="E1002" s="3" t="s">
        <v>658</v>
      </c>
    </row>
    <row r="1003" spans="1:5" hidden="1" x14ac:dyDescent="0.3">
      <c r="A1003" s="2">
        <v>1001</v>
      </c>
      <c r="B1003" s="2" t="s">
        <v>893</v>
      </c>
      <c r="C1003" s="2" t="s">
        <v>108</v>
      </c>
      <c r="D1003" s="9" t="s">
        <v>484</v>
      </c>
      <c r="E1003" s="3" t="s">
        <v>658</v>
      </c>
    </row>
    <row r="1004" spans="1:5" hidden="1" x14ac:dyDescent="0.3">
      <c r="A1004" s="2">
        <v>1002</v>
      </c>
      <c r="B1004" s="2" t="s">
        <v>633</v>
      </c>
      <c r="C1004" s="2" t="s">
        <v>4</v>
      </c>
      <c r="D1004" s="9" t="s">
        <v>578</v>
      </c>
      <c r="E1004" s="3" t="s">
        <v>658</v>
      </c>
    </row>
    <row r="1005" spans="1:5" hidden="1" x14ac:dyDescent="0.3">
      <c r="A1005" s="2">
        <v>1003</v>
      </c>
      <c r="B1005" s="2" t="s">
        <v>634</v>
      </c>
      <c r="C1005" s="2" t="s">
        <v>4</v>
      </c>
      <c r="D1005" s="9" t="s">
        <v>578</v>
      </c>
      <c r="E1005" s="3" t="s">
        <v>658</v>
      </c>
    </row>
    <row r="1006" spans="1:5" hidden="1" x14ac:dyDescent="0.3">
      <c r="A1006" s="2">
        <v>1004</v>
      </c>
      <c r="B1006" s="2" t="s">
        <v>635</v>
      </c>
      <c r="C1006" s="2" t="s">
        <v>4</v>
      </c>
      <c r="D1006" s="9" t="s">
        <v>578</v>
      </c>
      <c r="E1006" s="3" t="s">
        <v>658</v>
      </c>
    </row>
    <row r="1007" spans="1:5" hidden="1" x14ac:dyDescent="0.3">
      <c r="A1007" s="2">
        <v>1005</v>
      </c>
      <c r="B1007" s="2" t="s">
        <v>636</v>
      </c>
      <c r="C1007" s="2" t="s">
        <v>4</v>
      </c>
      <c r="D1007" s="9" t="s">
        <v>578</v>
      </c>
      <c r="E1007" s="3" t="s">
        <v>658</v>
      </c>
    </row>
    <row r="1008" spans="1:5" hidden="1" x14ac:dyDescent="0.3">
      <c r="A1008" s="2">
        <v>1006</v>
      </c>
      <c r="B1008" s="2" t="s">
        <v>894</v>
      </c>
      <c r="C1008" s="2" t="s">
        <v>4</v>
      </c>
      <c r="D1008" s="9" t="s">
        <v>578</v>
      </c>
      <c r="E1008" s="3" t="s">
        <v>658</v>
      </c>
    </row>
    <row r="1009" spans="1:5" hidden="1" x14ac:dyDescent="0.3">
      <c r="A1009" s="2">
        <v>1007</v>
      </c>
      <c r="B1009" s="2" t="s">
        <v>629</v>
      </c>
      <c r="C1009" s="2" t="s">
        <v>4</v>
      </c>
      <c r="D1009" s="9" t="s">
        <v>568</v>
      </c>
      <c r="E1009" s="3" t="s">
        <v>658</v>
      </c>
    </row>
    <row r="1010" spans="1:5" hidden="1" x14ac:dyDescent="0.3">
      <c r="A1010" s="2">
        <v>1008</v>
      </c>
      <c r="B1010" s="2" t="s">
        <v>630</v>
      </c>
      <c r="C1010" s="2" t="s">
        <v>4</v>
      </c>
      <c r="D1010" s="9" t="s">
        <v>568</v>
      </c>
      <c r="E1010" s="3" t="s">
        <v>658</v>
      </c>
    </row>
    <row r="1011" spans="1:5" hidden="1" x14ac:dyDescent="0.3">
      <c r="A1011" s="2">
        <v>1009</v>
      </c>
      <c r="B1011" s="2" t="s">
        <v>631</v>
      </c>
      <c r="C1011" s="2" t="s">
        <v>4</v>
      </c>
      <c r="D1011" s="9" t="s">
        <v>568</v>
      </c>
      <c r="E1011" s="3" t="s">
        <v>658</v>
      </c>
    </row>
    <row r="1012" spans="1:5" hidden="1" x14ac:dyDescent="0.3">
      <c r="A1012" s="2">
        <v>1010</v>
      </c>
      <c r="B1012" s="2" t="s">
        <v>632</v>
      </c>
      <c r="C1012" s="2" t="s">
        <v>4</v>
      </c>
      <c r="D1012" s="9" t="s">
        <v>568</v>
      </c>
      <c r="E1012" s="3" t="s">
        <v>658</v>
      </c>
    </row>
    <row r="1013" spans="1:5" hidden="1" x14ac:dyDescent="0.3">
      <c r="A1013" s="2">
        <v>1011</v>
      </c>
      <c r="B1013" s="2" t="s">
        <v>895</v>
      </c>
      <c r="C1013" s="2" t="s">
        <v>4</v>
      </c>
      <c r="D1013" s="9" t="s">
        <v>568</v>
      </c>
      <c r="E1013" s="3" t="s">
        <v>658</v>
      </c>
    </row>
    <row r="1014" spans="1:5" hidden="1" x14ac:dyDescent="0.3">
      <c r="A1014" s="2">
        <v>1012</v>
      </c>
      <c r="B1014" s="2" t="s">
        <v>642</v>
      </c>
      <c r="C1014" s="2" t="s">
        <v>4</v>
      </c>
      <c r="D1014" s="9" t="s">
        <v>557</v>
      </c>
      <c r="E1014" s="3" t="s">
        <v>658</v>
      </c>
    </row>
    <row r="1015" spans="1:5" hidden="1" x14ac:dyDescent="0.3">
      <c r="A1015" s="2">
        <v>1013</v>
      </c>
      <c r="B1015" s="2" t="s">
        <v>643</v>
      </c>
      <c r="C1015" s="2" t="s">
        <v>4</v>
      </c>
      <c r="D1015" s="9" t="s">
        <v>557</v>
      </c>
      <c r="E1015" s="3" t="s">
        <v>658</v>
      </c>
    </row>
    <row r="1016" spans="1:5" hidden="1" x14ac:dyDescent="0.3">
      <c r="A1016" s="2">
        <v>1014</v>
      </c>
      <c r="B1016" s="2" t="s">
        <v>644</v>
      </c>
      <c r="C1016" s="2" t="s">
        <v>4</v>
      </c>
      <c r="D1016" s="9" t="s">
        <v>557</v>
      </c>
      <c r="E1016" s="3" t="s">
        <v>658</v>
      </c>
    </row>
    <row r="1017" spans="1:5" hidden="1" x14ac:dyDescent="0.3">
      <c r="A1017" s="2">
        <v>1015</v>
      </c>
      <c r="B1017" s="2" t="s">
        <v>645</v>
      </c>
      <c r="C1017" s="2" t="s">
        <v>4</v>
      </c>
      <c r="D1017" s="9" t="s">
        <v>557</v>
      </c>
      <c r="E1017" s="3" t="s">
        <v>658</v>
      </c>
    </row>
    <row r="1018" spans="1:5" hidden="1" x14ac:dyDescent="0.3">
      <c r="A1018" s="2">
        <v>1016</v>
      </c>
      <c r="B1018" s="2" t="s">
        <v>646</v>
      </c>
      <c r="C1018" s="2" t="s">
        <v>4</v>
      </c>
      <c r="D1018" s="9" t="s">
        <v>557</v>
      </c>
      <c r="E1018" s="3" t="s">
        <v>658</v>
      </c>
    </row>
    <row r="1019" spans="1:5" hidden="1" x14ac:dyDescent="0.3">
      <c r="A1019" s="2">
        <v>1017</v>
      </c>
      <c r="B1019" s="2" t="s">
        <v>637</v>
      </c>
      <c r="C1019" s="2" t="s">
        <v>4</v>
      </c>
      <c r="D1019" s="9" t="s">
        <v>546</v>
      </c>
      <c r="E1019" s="3" t="s">
        <v>658</v>
      </c>
    </row>
    <row r="1020" spans="1:5" hidden="1" x14ac:dyDescent="0.3">
      <c r="A1020" s="2">
        <v>1018</v>
      </c>
      <c r="B1020" s="2" t="s">
        <v>638</v>
      </c>
      <c r="C1020" s="2" t="s">
        <v>4</v>
      </c>
      <c r="D1020" s="9" t="s">
        <v>546</v>
      </c>
      <c r="E1020" s="3" t="s">
        <v>658</v>
      </c>
    </row>
    <row r="1021" spans="1:5" hidden="1" x14ac:dyDescent="0.3">
      <c r="A1021" s="2">
        <v>1019</v>
      </c>
      <c r="B1021" s="2" t="s">
        <v>640</v>
      </c>
      <c r="C1021" s="2" t="s">
        <v>4</v>
      </c>
      <c r="D1021" s="9" t="s">
        <v>546</v>
      </c>
      <c r="E1021" s="3" t="s">
        <v>658</v>
      </c>
    </row>
    <row r="1022" spans="1:5" hidden="1" x14ac:dyDescent="0.3">
      <c r="A1022" s="2">
        <v>1020</v>
      </c>
      <c r="B1022" s="2" t="s">
        <v>639</v>
      </c>
      <c r="C1022" s="2" t="s">
        <v>4</v>
      </c>
      <c r="D1022" s="9" t="s">
        <v>546</v>
      </c>
      <c r="E1022" s="3" t="s">
        <v>658</v>
      </c>
    </row>
    <row r="1023" spans="1:5" hidden="1" x14ac:dyDescent="0.3">
      <c r="A1023" s="2">
        <v>1021</v>
      </c>
      <c r="B1023" s="2" t="s">
        <v>641</v>
      </c>
      <c r="C1023" s="2" t="s">
        <v>4</v>
      </c>
      <c r="D1023" s="9" t="s">
        <v>546</v>
      </c>
      <c r="E1023" s="3" t="s">
        <v>658</v>
      </c>
    </row>
  </sheetData>
  <autoFilter ref="D1:D1023" xr:uid="{F740B2D2-E664-4DDE-AC95-5A502F5FBFA0}">
    <filterColumn colId="0">
      <filters>
        <filter val="Austral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F19F-8CED-4AD1-A67D-ED1171BE6592}">
  <dimension ref="A1:P91"/>
  <sheetViews>
    <sheetView tabSelected="1" topLeftCell="F1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27" customWidth="1"/>
    <col min="2" max="2" width="14" customWidth="1"/>
    <col min="3" max="3" width="16.6640625" customWidth="1"/>
    <col min="4" max="4" width="16.88671875" customWidth="1"/>
    <col min="5" max="5" width="25.6640625" customWidth="1"/>
    <col min="6" max="6" width="21.109375" customWidth="1"/>
    <col min="7" max="7" width="13.88671875" bestFit="1" customWidth="1"/>
    <col min="8" max="8" width="14.33203125" customWidth="1"/>
    <col min="9" max="9" width="12.21875" customWidth="1"/>
    <col min="10" max="10" width="10.5546875" bestFit="1" customWidth="1"/>
    <col min="11" max="11" width="24.6640625" bestFit="1" customWidth="1"/>
    <col min="12" max="12" width="20" bestFit="1" customWidth="1"/>
    <col min="13" max="13" width="23.88671875" bestFit="1" customWidth="1"/>
    <col min="14" max="14" width="14.5546875" bestFit="1" customWidth="1"/>
    <col min="15" max="15" width="24.6640625" customWidth="1"/>
    <col min="16" max="16" width="27.5546875" customWidth="1"/>
  </cols>
  <sheetData>
    <row r="1" spans="1:16" x14ac:dyDescent="0.3">
      <c r="A1" s="1" t="s">
        <v>1</v>
      </c>
      <c r="B1" s="1" t="s">
        <v>2</v>
      </c>
      <c r="C1" s="1" t="s">
        <v>70</v>
      </c>
      <c r="D1" s="1" t="s">
        <v>109</v>
      </c>
      <c r="E1" s="4" t="s">
        <v>896</v>
      </c>
      <c r="F1" s="4" t="s">
        <v>897</v>
      </c>
      <c r="G1" s="4" t="s">
        <v>898</v>
      </c>
      <c r="H1" s="4" t="s">
        <v>899</v>
      </c>
      <c r="I1" s="4" t="s">
        <v>900</v>
      </c>
      <c r="J1" s="4" t="s">
        <v>901</v>
      </c>
      <c r="K1" s="4" t="s">
        <v>902</v>
      </c>
      <c r="L1" s="4" t="s">
        <v>907</v>
      </c>
      <c r="M1" s="4" t="s">
        <v>903</v>
      </c>
      <c r="N1" s="4" t="s">
        <v>904</v>
      </c>
      <c r="O1" s="4" t="s">
        <v>905</v>
      </c>
      <c r="P1" s="4" t="s">
        <v>1011</v>
      </c>
    </row>
    <row r="2" spans="1:16" x14ac:dyDescent="0.3">
      <c r="A2" s="4" t="s">
        <v>3</v>
      </c>
      <c r="B2" s="6" t="s">
        <v>4</v>
      </c>
      <c r="C2" s="3" t="s">
        <v>71</v>
      </c>
      <c r="D2" s="6" t="s">
        <v>110</v>
      </c>
      <c r="E2" s="3">
        <v>132.86000000000001</v>
      </c>
      <c r="F2" s="3">
        <v>8661</v>
      </c>
      <c r="G2" s="3">
        <v>39.549999999999997</v>
      </c>
      <c r="H2" s="3">
        <v>291</v>
      </c>
      <c r="I2" s="3">
        <v>771</v>
      </c>
      <c r="J2" s="3">
        <v>6519</v>
      </c>
      <c r="K2" s="3">
        <v>2031</v>
      </c>
      <c r="L2" s="3">
        <v>8</v>
      </c>
      <c r="M2" s="3">
        <v>63</v>
      </c>
      <c r="N2" s="3">
        <v>37</v>
      </c>
      <c r="O2" s="3" t="s">
        <v>906</v>
      </c>
      <c r="P2" s="3">
        <v>21</v>
      </c>
    </row>
    <row r="3" spans="1:16" x14ac:dyDescent="0.3">
      <c r="A3" s="4" t="s">
        <v>5</v>
      </c>
      <c r="B3" s="6" t="s">
        <v>4</v>
      </c>
      <c r="C3" s="3" t="s">
        <v>71</v>
      </c>
      <c r="D3" s="6" t="s">
        <v>110</v>
      </c>
      <c r="E3" s="3">
        <v>132.1</v>
      </c>
      <c r="F3" s="3">
        <v>7046</v>
      </c>
      <c r="G3" s="3">
        <v>29.73</v>
      </c>
      <c r="H3" s="3">
        <v>302</v>
      </c>
      <c r="I3" s="3">
        <v>640</v>
      </c>
      <c r="J3" s="3">
        <v>5334</v>
      </c>
      <c r="K3" s="3">
        <v>1909</v>
      </c>
      <c r="L3" s="3">
        <v>2</v>
      </c>
      <c r="M3" s="3">
        <v>47</v>
      </c>
      <c r="N3" s="3">
        <v>38</v>
      </c>
      <c r="O3" s="3" t="s">
        <v>906</v>
      </c>
      <c r="P3" s="3">
        <v>16.350000000000001</v>
      </c>
    </row>
    <row r="4" spans="1:16" x14ac:dyDescent="0.3">
      <c r="A4" s="4" t="s">
        <v>6</v>
      </c>
      <c r="B4" s="6" t="s">
        <v>4</v>
      </c>
      <c r="C4" s="3" t="s">
        <v>71</v>
      </c>
      <c r="D4" s="6" t="s">
        <v>110</v>
      </c>
      <c r="E4" s="3">
        <v>138.72</v>
      </c>
      <c r="F4" s="3">
        <v>3866</v>
      </c>
      <c r="G4" s="3">
        <v>39.450000000000003</v>
      </c>
      <c r="H4" s="3">
        <v>119</v>
      </c>
      <c r="I4" s="3">
        <v>372</v>
      </c>
      <c r="J4" s="3">
        <v>2787</v>
      </c>
      <c r="K4" s="3">
        <v>865</v>
      </c>
      <c r="L4" s="3">
        <v>4</v>
      </c>
      <c r="M4" s="3">
        <v>26</v>
      </c>
      <c r="N4" s="3">
        <v>26</v>
      </c>
      <c r="O4" s="3" t="s">
        <v>906</v>
      </c>
      <c r="P4" s="3">
        <v>16.350000000000001</v>
      </c>
    </row>
    <row r="5" spans="1:16" x14ac:dyDescent="0.3">
      <c r="A5" s="4" t="s">
        <v>9</v>
      </c>
      <c r="B5" s="6" t="s">
        <v>4</v>
      </c>
      <c r="C5" s="3" t="s">
        <v>71</v>
      </c>
      <c r="D5" s="6" t="s">
        <v>110</v>
      </c>
      <c r="E5" s="3">
        <v>148.9</v>
      </c>
      <c r="F5" s="3">
        <v>4311</v>
      </c>
      <c r="G5" s="3">
        <v>34.770000000000003</v>
      </c>
      <c r="H5" s="3">
        <v>168</v>
      </c>
      <c r="I5" s="3">
        <v>454</v>
      </c>
      <c r="J5" s="3">
        <v>2896</v>
      </c>
      <c r="K5" s="3">
        <v>973</v>
      </c>
      <c r="L5" s="3">
        <v>2</v>
      </c>
      <c r="M5" s="3">
        <v>29</v>
      </c>
      <c r="N5" s="3">
        <v>35</v>
      </c>
      <c r="O5" s="3" t="s">
        <v>906</v>
      </c>
      <c r="P5" s="3">
        <v>16.350000000000001</v>
      </c>
    </row>
    <row r="6" spans="1:16" x14ac:dyDescent="0.3">
      <c r="A6" s="4" t="s">
        <v>10</v>
      </c>
      <c r="B6" s="6" t="s">
        <v>4</v>
      </c>
      <c r="C6" s="3" t="s">
        <v>71</v>
      </c>
      <c r="D6" s="6" t="s">
        <v>110</v>
      </c>
      <c r="E6" s="3">
        <v>133.30000000000001</v>
      </c>
      <c r="F6" s="3">
        <v>3710</v>
      </c>
      <c r="G6" s="3">
        <v>34.229999999999997</v>
      </c>
      <c r="H6" s="3">
        <v>151</v>
      </c>
      <c r="I6" s="3">
        <v>314</v>
      </c>
      <c r="J6" s="3">
        <v>2784</v>
      </c>
      <c r="K6" s="3">
        <v>953</v>
      </c>
      <c r="L6" s="3">
        <v>0</v>
      </c>
      <c r="M6" s="3">
        <v>27</v>
      </c>
      <c r="N6" s="3">
        <v>31</v>
      </c>
      <c r="O6" s="3" t="s">
        <v>906</v>
      </c>
      <c r="P6" s="3">
        <v>26.75</v>
      </c>
    </row>
    <row r="7" spans="1:16" x14ac:dyDescent="0.3">
      <c r="A7" s="4" t="s">
        <v>11</v>
      </c>
      <c r="B7" s="6" t="s">
        <v>4</v>
      </c>
      <c r="C7" s="3" t="s">
        <v>71</v>
      </c>
      <c r="D7" s="6" t="s">
        <v>110</v>
      </c>
      <c r="E7" s="3">
        <v>152.86000000000001</v>
      </c>
      <c r="F7" s="3">
        <v>2166</v>
      </c>
      <c r="G7" s="3">
        <v>34.380000000000003</v>
      </c>
      <c r="H7" s="3">
        <v>92</v>
      </c>
      <c r="I7" s="3">
        <v>258</v>
      </c>
      <c r="J7" s="3">
        <v>1417</v>
      </c>
      <c r="K7" s="3">
        <v>555</v>
      </c>
      <c r="L7" s="3">
        <v>2</v>
      </c>
      <c r="M7" s="3">
        <v>15</v>
      </c>
      <c r="N7" s="3">
        <v>24</v>
      </c>
      <c r="O7" s="3" t="s">
        <v>906</v>
      </c>
      <c r="P7" s="3">
        <v>12</v>
      </c>
    </row>
    <row r="8" spans="1:16" x14ac:dyDescent="0.3">
      <c r="A8" s="4" t="s">
        <v>17</v>
      </c>
      <c r="B8" s="6" t="s">
        <v>4</v>
      </c>
      <c r="C8" s="3" t="s">
        <v>71</v>
      </c>
      <c r="D8" s="6" t="s">
        <v>110</v>
      </c>
      <c r="E8" s="3">
        <v>137.47</v>
      </c>
      <c r="F8" s="3">
        <v>2502</v>
      </c>
      <c r="G8" s="3">
        <v>40.35</v>
      </c>
      <c r="H8" s="3">
        <v>95</v>
      </c>
      <c r="I8" s="3">
        <v>231</v>
      </c>
      <c r="J8" s="3">
        <v>1820</v>
      </c>
      <c r="K8" s="3">
        <v>622</v>
      </c>
      <c r="L8" s="3">
        <v>2</v>
      </c>
      <c r="M8" s="3">
        <v>20</v>
      </c>
      <c r="N8" s="3">
        <v>29</v>
      </c>
      <c r="O8" s="3" t="s">
        <v>906</v>
      </c>
      <c r="P8" s="3">
        <v>18</v>
      </c>
    </row>
    <row r="9" spans="1:16" x14ac:dyDescent="0.3">
      <c r="A9" s="4" t="s">
        <v>18</v>
      </c>
      <c r="B9" s="6" t="s">
        <v>4</v>
      </c>
      <c r="C9" s="3" t="s">
        <v>71</v>
      </c>
      <c r="D9" s="6" t="s">
        <v>110</v>
      </c>
      <c r="E9" s="3">
        <v>144.41</v>
      </c>
      <c r="F9" s="3">
        <v>1499</v>
      </c>
      <c r="G9" s="3">
        <v>37.479999999999997</v>
      </c>
      <c r="H9" s="3">
        <v>74</v>
      </c>
      <c r="I9" s="3">
        <v>113</v>
      </c>
      <c r="J9" s="3">
        <v>873</v>
      </c>
      <c r="K9" s="3">
        <v>286</v>
      </c>
      <c r="L9" s="3">
        <v>2</v>
      </c>
      <c r="M9" s="3">
        <v>5</v>
      </c>
      <c r="N9" s="3">
        <v>23</v>
      </c>
      <c r="O9" s="3" t="s">
        <v>906</v>
      </c>
      <c r="P9" s="3">
        <v>8</v>
      </c>
    </row>
    <row r="10" spans="1:16" x14ac:dyDescent="0.3">
      <c r="A10" s="4" t="s">
        <v>19</v>
      </c>
      <c r="B10" s="6" t="s">
        <v>108</v>
      </c>
      <c r="C10" s="3" t="s">
        <v>71</v>
      </c>
      <c r="D10" s="6" t="s">
        <v>110</v>
      </c>
      <c r="E10" s="3">
        <v>145.88999999999999</v>
      </c>
      <c r="F10" s="3">
        <v>1793</v>
      </c>
      <c r="G10" s="3">
        <v>49.81</v>
      </c>
      <c r="H10" s="3">
        <v>52</v>
      </c>
      <c r="I10" s="3">
        <v>183</v>
      </c>
      <c r="J10" s="3">
        <v>1229</v>
      </c>
      <c r="K10" s="3">
        <v>347</v>
      </c>
      <c r="L10" s="3">
        <v>2</v>
      </c>
      <c r="M10" s="3">
        <v>12</v>
      </c>
      <c r="N10" s="3">
        <v>24</v>
      </c>
      <c r="O10" s="3" t="s">
        <v>908</v>
      </c>
      <c r="P10" s="3">
        <v>6</v>
      </c>
    </row>
    <row r="11" spans="1:16" x14ac:dyDescent="0.3">
      <c r="A11" s="4" t="s">
        <v>34</v>
      </c>
      <c r="B11" s="6" t="s">
        <v>4</v>
      </c>
      <c r="C11" s="3" t="s">
        <v>71</v>
      </c>
      <c r="D11" s="6" t="s">
        <v>110</v>
      </c>
      <c r="E11" s="3">
        <v>145.18</v>
      </c>
      <c r="F11" s="3">
        <v>1099</v>
      </c>
      <c r="G11" s="3">
        <v>30.53</v>
      </c>
      <c r="H11" s="3">
        <v>56</v>
      </c>
      <c r="I11" s="3">
        <v>87</v>
      </c>
      <c r="J11" s="3">
        <v>757</v>
      </c>
      <c r="K11" s="3">
        <v>262</v>
      </c>
      <c r="L11" s="3">
        <v>0</v>
      </c>
      <c r="M11" s="3">
        <v>4</v>
      </c>
      <c r="N11" s="3">
        <v>28</v>
      </c>
      <c r="O11" s="3" t="s">
        <v>906</v>
      </c>
      <c r="P11" s="3">
        <v>13</v>
      </c>
    </row>
    <row r="12" spans="1:16" x14ac:dyDescent="0.3">
      <c r="A12" s="4" t="s">
        <v>23</v>
      </c>
      <c r="B12" s="6" t="s">
        <v>4</v>
      </c>
      <c r="C12" s="3" t="s">
        <v>71</v>
      </c>
      <c r="D12" s="6" t="s">
        <v>110</v>
      </c>
      <c r="E12" s="3">
        <v>163.02000000000001</v>
      </c>
      <c r="F12" s="3">
        <v>1816</v>
      </c>
      <c r="G12" s="3">
        <v>27.1</v>
      </c>
      <c r="H12" s="3">
        <v>101</v>
      </c>
      <c r="I12" s="3">
        <v>174</v>
      </c>
      <c r="J12" s="3">
        <v>1114</v>
      </c>
      <c r="K12" s="3">
        <v>396</v>
      </c>
      <c r="L12" s="3">
        <v>1</v>
      </c>
      <c r="M12" s="3">
        <v>9</v>
      </c>
      <c r="N12" s="3">
        <v>25</v>
      </c>
      <c r="O12" s="3" t="s">
        <v>906</v>
      </c>
      <c r="P12" s="3">
        <v>14</v>
      </c>
    </row>
    <row r="13" spans="1:16" x14ac:dyDescent="0.3">
      <c r="A13" s="4" t="s">
        <v>21</v>
      </c>
      <c r="B13" s="6" t="s">
        <v>108</v>
      </c>
      <c r="C13" s="3" t="s">
        <v>71</v>
      </c>
      <c r="D13" s="6" t="s">
        <v>110</v>
      </c>
      <c r="E13" s="3">
        <v>154.31</v>
      </c>
      <c r="F13" s="3">
        <v>1111</v>
      </c>
      <c r="G13" s="3">
        <v>30.86</v>
      </c>
      <c r="H13" s="3">
        <v>68</v>
      </c>
      <c r="I13" s="3">
        <v>76</v>
      </c>
      <c r="J13" s="3">
        <v>720</v>
      </c>
      <c r="K13" s="3">
        <v>224</v>
      </c>
      <c r="L13" s="3">
        <v>1</v>
      </c>
      <c r="M13" s="3">
        <v>9</v>
      </c>
      <c r="N13" s="3">
        <v>32</v>
      </c>
      <c r="O13" s="3" t="s">
        <v>908</v>
      </c>
      <c r="P13" s="3">
        <v>11</v>
      </c>
    </row>
    <row r="14" spans="1:16" x14ac:dyDescent="0.3">
      <c r="A14" s="4" t="s">
        <v>39</v>
      </c>
      <c r="B14" s="6" t="s">
        <v>108</v>
      </c>
      <c r="C14" s="3" t="s">
        <v>71</v>
      </c>
      <c r="D14" s="6" t="s">
        <v>110</v>
      </c>
      <c r="E14" s="3">
        <v>130.58000000000001</v>
      </c>
      <c r="F14" s="3">
        <v>585</v>
      </c>
      <c r="G14" s="3">
        <v>22.5</v>
      </c>
      <c r="H14" s="3">
        <v>14</v>
      </c>
      <c r="I14" s="3">
        <v>63</v>
      </c>
      <c r="J14" s="3">
        <v>449</v>
      </c>
      <c r="K14" s="3">
        <v>153</v>
      </c>
      <c r="L14" s="3">
        <v>0</v>
      </c>
      <c r="M14" s="3">
        <v>1</v>
      </c>
      <c r="N14" s="3">
        <v>28</v>
      </c>
      <c r="O14" s="3" t="s">
        <v>908</v>
      </c>
      <c r="P14" s="3">
        <v>0.75</v>
      </c>
    </row>
    <row r="15" spans="1:16" x14ac:dyDescent="0.3">
      <c r="A15" s="4" t="s">
        <v>35</v>
      </c>
      <c r="B15" s="6" t="s">
        <v>108</v>
      </c>
      <c r="C15" s="3" t="s">
        <v>71</v>
      </c>
      <c r="D15" s="6" t="s">
        <v>110</v>
      </c>
      <c r="E15" s="3">
        <v>147.47</v>
      </c>
      <c r="F15" s="3">
        <v>1892</v>
      </c>
      <c r="G15" s="3">
        <v>23.95</v>
      </c>
      <c r="H15" s="3">
        <v>61</v>
      </c>
      <c r="I15" s="3">
        <v>238</v>
      </c>
      <c r="J15" s="3">
        <v>1283</v>
      </c>
      <c r="K15" s="3">
        <v>483</v>
      </c>
      <c r="L15" s="3">
        <v>0</v>
      </c>
      <c r="M15" s="3">
        <v>14</v>
      </c>
      <c r="N15" s="3">
        <v>26</v>
      </c>
      <c r="O15" s="3" t="s">
        <v>908</v>
      </c>
      <c r="P15" s="3">
        <v>0.75</v>
      </c>
    </row>
    <row r="16" spans="1:16" x14ac:dyDescent="0.3">
      <c r="A16" s="4" t="s">
        <v>32</v>
      </c>
      <c r="B16" s="6" t="s">
        <v>108</v>
      </c>
      <c r="C16" s="3" t="s">
        <v>71</v>
      </c>
      <c r="D16" s="6" t="s">
        <v>110</v>
      </c>
      <c r="E16" s="3">
        <v>133.72</v>
      </c>
      <c r="F16" s="3">
        <v>2760</v>
      </c>
      <c r="G16" s="3">
        <v>23</v>
      </c>
      <c r="H16" s="3">
        <v>100</v>
      </c>
      <c r="I16" s="3">
        <v>274</v>
      </c>
      <c r="J16" s="3">
        <v>1786</v>
      </c>
      <c r="K16" s="3">
        <v>645</v>
      </c>
      <c r="L16" s="3">
        <v>1</v>
      </c>
      <c r="M16" s="3">
        <v>12</v>
      </c>
      <c r="N16" s="3">
        <v>35</v>
      </c>
      <c r="O16" s="3" t="s">
        <v>908</v>
      </c>
      <c r="P16" s="3">
        <v>8.25</v>
      </c>
    </row>
    <row r="17" spans="1:16" x14ac:dyDescent="0.3">
      <c r="A17" s="4" t="s">
        <v>24</v>
      </c>
      <c r="B17" s="6" t="s">
        <v>108</v>
      </c>
      <c r="C17" s="3" t="s">
        <v>71</v>
      </c>
      <c r="D17" s="6" t="s">
        <v>110</v>
      </c>
      <c r="E17" s="3">
        <v>137.85</v>
      </c>
      <c r="F17" s="3">
        <v>2291</v>
      </c>
      <c r="G17" s="3">
        <v>26.03</v>
      </c>
      <c r="H17" s="3">
        <v>85</v>
      </c>
      <c r="I17" s="3">
        <v>229</v>
      </c>
      <c r="J17" s="3">
        <v>1662</v>
      </c>
      <c r="K17" s="3">
        <v>603</v>
      </c>
      <c r="L17" s="3">
        <v>0</v>
      </c>
      <c r="M17" s="3">
        <v>12</v>
      </c>
      <c r="N17" s="3">
        <v>34</v>
      </c>
      <c r="O17" s="3" t="s">
        <v>908</v>
      </c>
      <c r="P17" s="3">
        <v>6</v>
      </c>
    </row>
    <row r="18" spans="1:16" x14ac:dyDescent="0.3">
      <c r="A18" s="4" t="s">
        <v>20</v>
      </c>
      <c r="B18" s="6" t="s">
        <v>108</v>
      </c>
      <c r="C18" s="3" t="s">
        <v>71</v>
      </c>
      <c r="D18" s="6" t="s">
        <v>110</v>
      </c>
      <c r="E18" s="3">
        <v>126.29</v>
      </c>
      <c r="F18" s="3">
        <v>1806</v>
      </c>
      <c r="G18" s="3">
        <v>25.44</v>
      </c>
      <c r="H18" s="3">
        <v>56</v>
      </c>
      <c r="I18" s="3">
        <v>189</v>
      </c>
      <c r="J18" s="3">
        <v>1430</v>
      </c>
      <c r="K18" s="3">
        <v>565</v>
      </c>
      <c r="L18" s="3">
        <v>1</v>
      </c>
      <c r="M18" s="3">
        <v>11</v>
      </c>
      <c r="N18" s="3">
        <v>25</v>
      </c>
      <c r="O18" s="3" t="s">
        <v>908</v>
      </c>
      <c r="P18" s="3">
        <v>6</v>
      </c>
    </row>
    <row r="19" spans="1:16" x14ac:dyDescent="0.3">
      <c r="A19" s="4" t="s">
        <v>27</v>
      </c>
      <c r="B19" s="6" t="s">
        <v>108</v>
      </c>
      <c r="C19" s="3" t="s">
        <v>71</v>
      </c>
      <c r="D19" s="6" t="s">
        <v>110</v>
      </c>
      <c r="E19" s="3">
        <v>175</v>
      </c>
      <c r="F19" s="3">
        <v>1148</v>
      </c>
      <c r="G19" s="3">
        <v>21.53</v>
      </c>
      <c r="H19" s="3">
        <v>50</v>
      </c>
      <c r="I19" s="3">
        <v>46</v>
      </c>
      <c r="J19" s="3">
        <v>656</v>
      </c>
      <c r="K19" s="3">
        <v>189</v>
      </c>
      <c r="L19" s="3">
        <v>0</v>
      </c>
      <c r="M19" s="3">
        <v>11</v>
      </c>
      <c r="N19" s="3">
        <v>30</v>
      </c>
      <c r="O19" s="3" t="s">
        <v>908</v>
      </c>
      <c r="P19" s="3">
        <v>4</v>
      </c>
    </row>
    <row r="20" spans="1:16" x14ac:dyDescent="0.3">
      <c r="A20" s="4" t="s">
        <v>30</v>
      </c>
      <c r="B20" s="6" t="s">
        <v>108</v>
      </c>
      <c r="C20" s="3" t="s">
        <v>71</v>
      </c>
      <c r="D20" s="6" t="s">
        <v>110</v>
      </c>
      <c r="E20" s="3">
        <v>138.56</v>
      </c>
      <c r="F20" s="3">
        <v>963</v>
      </c>
      <c r="G20" s="3">
        <v>26.75</v>
      </c>
      <c r="H20" s="3">
        <v>38</v>
      </c>
      <c r="I20" s="3">
        <v>73</v>
      </c>
      <c r="J20" s="3">
        <v>662</v>
      </c>
      <c r="K20" s="3">
        <v>207</v>
      </c>
      <c r="L20" s="3">
        <v>0</v>
      </c>
      <c r="M20" s="3">
        <v>5</v>
      </c>
      <c r="N20" s="3">
        <v>26</v>
      </c>
      <c r="O20" s="3" t="s">
        <v>908</v>
      </c>
      <c r="P20" s="3">
        <v>4</v>
      </c>
    </row>
    <row r="21" spans="1:16" x14ac:dyDescent="0.3">
      <c r="A21" s="4" t="s">
        <v>909</v>
      </c>
      <c r="B21" s="6" t="s">
        <v>108</v>
      </c>
      <c r="C21" s="3" t="s">
        <v>71</v>
      </c>
      <c r="D21" s="6" t="s">
        <v>110</v>
      </c>
      <c r="E21" s="3">
        <v>206.56</v>
      </c>
      <c r="F21" s="3">
        <v>252</v>
      </c>
      <c r="G21" s="3">
        <v>36</v>
      </c>
      <c r="H21" s="3">
        <v>24</v>
      </c>
      <c r="I21" s="3">
        <v>18</v>
      </c>
      <c r="J21" s="3">
        <v>122</v>
      </c>
      <c r="K21" s="3">
        <v>45</v>
      </c>
      <c r="L21" s="3">
        <v>1</v>
      </c>
      <c r="M21" s="3">
        <v>1</v>
      </c>
      <c r="N21" s="3">
        <v>14</v>
      </c>
      <c r="O21" s="3" t="s">
        <v>908</v>
      </c>
      <c r="P21" s="3">
        <v>1.1000000000000001</v>
      </c>
    </row>
    <row r="22" spans="1:16" x14ac:dyDescent="0.3">
      <c r="A22" s="4" t="s">
        <v>22</v>
      </c>
      <c r="B22" s="6" t="s">
        <v>108</v>
      </c>
      <c r="C22" s="3" t="s">
        <v>71</v>
      </c>
      <c r="D22" s="6" t="s">
        <v>110</v>
      </c>
      <c r="E22" s="3">
        <v>136.77000000000001</v>
      </c>
      <c r="F22" s="3">
        <v>2853</v>
      </c>
      <c r="G22" s="3">
        <v>27.7</v>
      </c>
      <c r="H22" s="3">
        <v>141</v>
      </c>
      <c r="I22" s="3">
        <v>261</v>
      </c>
      <c r="J22" s="3">
        <v>2086</v>
      </c>
      <c r="K22" s="3">
        <v>816</v>
      </c>
      <c r="L22" s="3">
        <v>0</v>
      </c>
      <c r="M22" s="3">
        <v>20</v>
      </c>
      <c r="N22" s="3">
        <v>32</v>
      </c>
      <c r="O22" s="3" t="s">
        <v>908</v>
      </c>
      <c r="P22" s="3">
        <v>12</v>
      </c>
    </row>
    <row r="23" spans="1:16" x14ac:dyDescent="0.3">
      <c r="A23" s="4" t="s">
        <v>910</v>
      </c>
      <c r="B23" s="6" t="s">
        <v>108</v>
      </c>
      <c r="C23" s="3" t="s">
        <v>71</v>
      </c>
      <c r="D23" s="6" t="s">
        <v>110</v>
      </c>
      <c r="E23" s="3">
        <v>179.24</v>
      </c>
      <c r="F23" s="3">
        <v>475</v>
      </c>
      <c r="G23" s="3">
        <v>27.94</v>
      </c>
      <c r="H23" s="3">
        <v>25</v>
      </c>
      <c r="I23" s="3">
        <v>55</v>
      </c>
      <c r="J23" s="3">
        <v>230</v>
      </c>
      <c r="K23" s="3">
        <v>86</v>
      </c>
      <c r="L23" s="3">
        <v>1</v>
      </c>
      <c r="M23" s="3">
        <v>1</v>
      </c>
      <c r="N23" s="3">
        <v>25</v>
      </c>
      <c r="O23" s="3" t="s">
        <v>908</v>
      </c>
      <c r="P23" s="3">
        <v>3.8</v>
      </c>
    </row>
    <row r="24" spans="1:16" x14ac:dyDescent="0.3">
      <c r="A24" s="7" t="s">
        <v>65</v>
      </c>
      <c r="B24" s="6" t="s">
        <v>108</v>
      </c>
      <c r="C24" s="3" t="s">
        <v>71</v>
      </c>
      <c r="D24" s="6" t="s">
        <v>110</v>
      </c>
      <c r="E24" s="3">
        <v>131.72999999999999</v>
      </c>
      <c r="F24" s="3">
        <v>1694</v>
      </c>
      <c r="G24" s="3">
        <v>23.86</v>
      </c>
      <c r="H24" s="3">
        <v>49</v>
      </c>
      <c r="I24" s="3">
        <v>185</v>
      </c>
      <c r="J24" s="3">
        <v>1285</v>
      </c>
      <c r="K24" s="3">
        <v>489</v>
      </c>
      <c r="L24" s="3">
        <v>0</v>
      </c>
      <c r="M24" s="3">
        <v>11</v>
      </c>
      <c r="N24" s="3">
        <v>34</v>
      </c>
      <c r="O24" s="3" t="s">
        <v>908</v>
      </c>
      <c r="P24" s="3">
        <v>0.5</v>
      </c>
    </row>
    <row r="25" spans="1:16" x14ac:dyDescent="0.3">
      <c r="A25" s="7" t="s">
        <v>76</v>
      </c>
      <c r="B25" s="6" t="s">
        <v>108</v>
      </c>
      <c r="C25" s="3" t="s">
        <v>71</v>
      </c>
      <c r="D25" s="6" t="s">
        <v>110</v>
      </c>
      <c r="E25" s="3">
        <v>112.7</v>
      </c>
      <c r="F25" s="3">
        <v>71</v>
      </c>
      <c r="G25" s="3">
        <v>14.2</v>
      </c>
      <c r="H25" s="3">
        <v>2</v>
      </c>
      <c r="I25" s="3">
        <v>9</v>
      </c>
      <c r="J25" s="3">
        <v>63</v>
      </c>
      <c r="K25" s="3">
        <v>34</v>
      </c>
      <c r="L25" s="3">
        <v>0</v>
      </c>
      <c r="M25" s="3">
        <v>0</v>
      </c>
      <c r="N25" s="3">
        <v>21</v>
      </c>
      <c r="O25" s="3" t="s">
        <v>908</v>
      </c>
      <c r="P25" s="3">
        <v>0.3</v>
      </c>
    </row>
    <row r="26" spans="1:16" x14ac:dyDescent="0.3">
      <c r="A26" s="4" t="s">
        <v>911</v>
      </c>
      <c r="B26" s="6" t="s">
        <v>108</v>
      </c>
      <c r="C26" s="3" t="s">
        <v>71</v>
      </c>
      <c r="D26" s="6" t="s">
        <v>110</v>
      </c>
      <c r="E26" s="3">
        <v>188.98</v>
      </c>
      <c r="F26" s="3">
        <v>240</v>
      </c>
      <c r="G26" s="3">
        <v>34.29</v>
      </c>
      <c r="H26" s="3">
        <v>11</v>
      </c>
      <c r="I26" s="3">
        <v>31</v>
      </c>
      <c r="J26" s="3">
        <v>127</v>
      </c>
      <c r="K26" s="3">
        <v>41</v>
      </c>
      <c r="L26" s="3">
        <v>0</v>
      </c>
      <c r="M26" s="3">
        <v>1</v>
      </c>
      <c r="N26" s="3">
        <v>18</v>
      </c>
      <c r="O26" s="3" t="s">
        <v>908</v>
      </c>
      <c r="P26" s="3">
        <v>3</v>
      </c>
    </row>
    <row r="27" spans="1:16" x14ac:dyDescent="0.3">
      <c r="A27" s="4" t="s">
        <v>912</v>
      </c>
      <c r="B27" s="6" t="s">
        <v>108</v>
      </c>
      <c r="C27" s="3" t="s">
        <v>71</v>
      </c>
      <c r="D27" s="6" t="s">
        <v>110</v>
      </c>
      <c r="E27" s="3">
        <v>105.5</v>
      </c>
      <c r="F27" s="3">
        <v>541</v>
      </c>
      <c r="G27" s="3">
        <v>105</v>
      </c>
      <c r="H27" s="3">
        <v>7</v>
      </c>
      <c r="I27" s="3">
        <v>67</v>
      </c>
      <c r="J27" s="3">
        <v>513</v>
      </c>
      <c r="K27" s="3">
        <v>234</v>
      </c>
      <c r="L27" s="3">
        <v>2</v>
      </c>
      <c r="M27" s="3">
        <v>3</v>
      </c>
      <c r="N27" s="3">
        <v>19</v>
      </c>
      <c r="O27" s="3" t="s">
        <v>908</v>
      </c>
      <c r="P27" s="3">
        <v>0</v>
      </c>
    </row>
    <row r="28" spans="1:16" x14ac:dyDescent="0.3">
      <c r="A28" s="4" t="s">
        <v>46</v>
      </c>
      <c r="B28" s="6" t="s">
        <v>108</v>
      </c>
      <c r="C28" s="3" t="s">
        <v>71</v>
      </c>
      <c r="D28" s="6" t="s">
        <v>110</v>
      </c>
      <c r="E28" s="3">
        <v>124.26</v>
      </c>
      <c r="F28" s="3">
        <v>292</v>
      </c>
      <c r="G28" s="3">
        <v>15.37</v>
      </c>
      <c r="H28" s="3">
        <v>14</v>
      </c>
      <c r="I28" s="3">
        <v>23</v>
      </c>
      <c r="J28" s="3">
        <v>235</v>
      </c>
      <c r="K28" s="3">
        <v>91</v>
      </c>
      <c r="L28" s="3">
        <v>0</v>
      </c>
      <c r="M28" s="3">
        <v>0</v>
      </c>
      <c r="N28" s="3">
        <v>31</v>
      </c>
      <c r="O28" s="3" t="s">
        <v>908</v>
      </c>
      <c r="P28" s="3">
        <v>3.2</v>
      </c>
    </row>
    <row r="29" spans="1:16" x14ac:dyDescent="0.3">
      <c r="A29" s="4" t="s">
        <v>210</v>
      </c>
      <c r="B29" s="6" t="s">
        <v>4</v>
      </c>
      <c r="C29" s="3" t="s">
        <v>300</v>
      </c>
      <c r="D29" s="6" t="s">
        <v>110</v>
      </c>
      <c r="E29" s="3">
        <v>126.9</v>
      </c>
      <c r="F29" s="3">
        <v>2122</v>
      </c>
      <c r="G29" s="3">
        <v>34.51</v>
      </c>
      <c r="H29" s="3">
        <v>46</v>
      </c>
      <c r="I29" s="3">
        <v>201</v>
      </c>
      <c r="J29" s="3">
        <v>1672</v>
      </c>
      <c r="K29" s="3">
        <v>533</v>
      </c>
      <c r="L29" s="3">
        <v>1</v>
      </c>
      <c r="M29" s="3">
        <v>11</v>
      </c>
      <c r="N29" s="3">
        <v>36</v>
      </c>
      <c r="O29" s="3" t="s">
        <v>906</v>
      </c>
      <c r="P29" s="3">
        <v>2.2000000000000002</v>
      </c>
    </row>
    <row r="30" spans="1:16" x14ac:dyDescent="0.3">
      <c r="A30" s="4" t="s">
        <v>226</v>
      </c>
      <c r="B30" s="6" t="s">
        <v>4</v>
      </c>
      <c r="C30" s="3" t="s">
        <v>300</v>
      </c>
      <c r="D30" s="6" t="s">
        <v>110</v>
      </c>
      <c r="E30" s="3">
        <v>173.4</v>
      </c>
      <c r="F30" s="3">
        <v>846</v>
      </c>
      <c r="G30" s="3">
        <v>32.54</v>
      </c>
      <c r="H30" s="3">
        <v>60</v>
      </c>
      <c r="I30" s="3">
        <v>54</v>
      </c>
      <c r="J30" s="3">
        <v>488</v>
      </c>
      <c r="K30" s="3">
        <v>147</v>
      </c>
      <c r="L30" s="3">
        <v>0</v>
      </c>
      <c r="M30" s="3">
        <v>1</v>
      </c>
      <c r="N30" s="3">
        <v>29</v>
      </c>
      <c r="O30" s="3" t="s">
        <v>906</v>
      </c>
      <c r="P30" s="3">
        <v>6</v>
      </c>
    </row>
    <row r="31" spans="1:16" x14ac:dyDescent="0.3">
      <c r="A31" s="4" t="s">
        <v>211</v>
      </c>
      <c r="B31" s="6" t="s">
        <v>4</v>
      </c>
      <c r="C31" s="3" t="s">
        <v>300</v>
      </c>
      <c r="D31" s="6" t="s">
        <v>110</v>
      </c>
      <c r="E31" s="3">
        <v>140.4</v>
      </c>
      <c r="F31" s="3">
        <v>5542</v>
      </c>
      <c r="G31" s="3">
        <v>40.54</v>
      </c>
      <c r="H31" s="3">
        <v>192</v>
      </c>
      <c r="I31" s="3">
        <v>558</v>
      </c>
      <c r="J31" s="3">
        <v>3946</v>
      </c>
      <c r="K31" s="3">
        <v>1391</v>
      </c>
      <c r="L31" s="3">
        <v>2</v>
      </c>
      <c r="M31" s="3">
        <v>56</v>
      </c>
      <c r="N31" s="3">
        <v>39</v>
      </c>
      <c r="O31" s="3" t="s">
        <v>906</v>
      </c>
      <c r="P31" s="3">
        <v>6.25</v>
      </c>
    </row>
    <row r="32" spans="1:16" x14ac:dyDescent="0.3">
      <c r="A32" s="4" t="s">
        <v>213</v>
      </c>
      <c r="B32" s="6" t="s">
        <v>4</v>
      </c>
      <c r="C32" s="3" t="s">
        <v>300</v>
      </c>
      <c r="D32" s="6" t="s">
        <v>110</v>
      </c>
      <c r="E32" s="3">
        <v>170</v>
      </c>
      <c r="F32" s="3">
        <v>1146</v>
      </c>
      <c r="G32" s="3">
        <v>34.729999999999997</v>
      </c>
      <c r="H32" s="3">
        <v>55</v>
      </c>
      <c r="I32" s="3">
        <v>126</v>
      </c>
      <c r="J32" s="3">
        <v>674</v>
      </c>
      <c r="K32" s="3">
        <v>218</v>
      </c>
      <c r="L32" s="3">
        <v>1</v>
      </c>
      <c r="M32" s="3">
        <v>8</v>
      </c>
      <c r="N32" s="3">
        <v>32</v>
      </c>
      <c r="O32" s="3" t="s">
        <v>906</v>
      </c>
      <c r="P32" s="3">
        <v>14</v>
      </c>
    </row>
    <row r="33" spans="1:16" x14ac:dyDescent="0.3">
      <c r="A33" s="4" t="s">
        <v>248</v>
      </c>
      <c r="B33" s="6" t="s">
        <v>4</v>
      </c>
      <c r="C33" s="3" t="s">
        <v>300</v>
      </c>
      <c r="D33" s="6" t="s">
        <v>110</v>
      </c>
      <c r="E33" s="3">
        <v>128</v>
      </c>
      <c r="F33" s="3">
        <v>951</v>
      </c>
      <c r="G33" s="3">
        <v>27.78</v>
      </c>
      <c r="H33" s="3">
        <v>27</v>
      </c>
      <c r="I33" s="3">
        <v>83</v>
      </c>
      <c r="J33" s="3">
        <v>743</v>
      </c>
      <c r="K33" s="3">
        <v>249</v>
      </c>
      <c r="L33" s="3">
        <v>0</v>
      </c>
      <c r="M33" s="3">
        <v>5</v>
      </c>
      <c r="N33" s="3">
        <v>39</v>
      </c>
      <c r="O33" s="3" t="s">
        <v>906</v>
      </c>
      <c r="P33" s="3">
        <v>4.2</v>
      </c>
    </row>
    <row r="34" spans="1:16" x14ac:dyDescent="0.3">
      <c r="A34" s="4" t="s">
        <v>225</v>
      </c>
      <c r="B34" s="6" t="s">
        <v>4</v>
      </c>
      <c r="C34" s="3" t="s">
        <v>300</v>
      </c>
      <c r="D34" s="6" t="s">
        <v>110</v>
      </c>
      <c r="E34" s="3">
        <v>119.5</v>
      </c>
      <c r="F34" s="3">
        <v>1919</v>
      </c>
      <c r="G34" s="3">
        <v>33</v>
      </c>
      <c r="H34" s="3">
        <v>41</v>
      </c>
      <c r="I34" s="3">
        <v>147</v>
      </c>
      <c r="J34" s="3">
        <v>1606</v>
      </c>
      <c r="K34" s="3">
        <v>491</v>
      </c>
      <c r="L34" s="3">
        <v>1</v>
      </c>
      <c r="M34" s="3">
        <v>7</v>
      </c>
      <c r="N34" s="3">
        <v>34</v>
      </c>
      <c r="O34" s="3" t="s">
        <v>906</v>
      </c>
      <c r="P34" s="3">
        <v>1.5</v>
      </c>
    </row>
    <row r="35" spans="1:16" x14ac:dyDescent="0.3">
      <c r="A35" s="4" t="s">
        <v>244</v>
      </c>
      <c r="B35" s="6" t="s">
        <v>4</v>
      </c>
      <c r="C35" s="3" t="s">
        <v>300</v>
      </c>
      <c r="D35" s="6" t="s">
        <v>110</v>
      </c>
      <c r="E35" s="3">
        <v>124.8</v>
      </c>
      <c r="F35" s="3">
        <v>2036</v>
      </c>
      <c r="G35" s="3">
        <v>21</v>
      </c>
      <c r="H35" s="3">
        <v>94</v>
      </c>
      <c r="I35" s="3">
        <v>170</v>
      </c>
      <c r="J35" s="3">
        <v>1632</v>
      </c>
      <c r="K35" s="3">
        <v>638</v>
      </c>
      <c r="L35" s="3">
        <v>0</v>
      </c>
      <c r="M35" s="3">
        <v>10</v>
      </c>
      <c r="N35" s="3">
        <v>34</v>
      </c>
      <c r="O35" s="3" t="s">
        <v>908</v>
      </c>
      <c r="P35" s="3">
        <v>1.3</v>
      </c>
    </row>
    <row r="36" spans="1:16" x14ac:dyDescent="0.3">
      <c r="A36" s="4" t="s">
        <v>949</v>
      </c>
      <c r="B36" s="6" t="s">
        <v>4</v>
      </c>
      <c r="C36" s="3" t="s">
        <v>300</v>
      </c>
      <c r="D36" s="6" t="s">
        <v>110</v>
      </c>
      <c r="E36" s="3">
        <v>199.5</v>
      </c>
      <c r="F36" s="3">
        <v>385</v>
      </c>
      <c r="G36" s="3">
        <v>25.67</v>
      </c>
      <c r="H36" s="3">
        <v>30</v>
      </c>
      <c r="I36" s="3">
        <v>39</v>
      </c>
      <c r="J36" s="3">
        <v>193</v>
      </c>
      <c r="K36" s="3">
        <v>82</v>
      </c>
      <c r="L36" s="3">
        <v>0</v>
      </c>
      <c r="M36" s="3">
        <v>4</v>
      </c>
      <c r="N36" s="3">
        <v>23</v>
      </c>
      <c r="O36" s="3" t="s">
        <v>906</v>
      </c>
      <c r="P36" s="3">
        <v>4</v>
      </c>
    </row>
    <row r="37" spans="1:16" x14ac:dyDescent="0.3">
      <c r="A37" s="18" t="s">
        <v>236</v>
      </c>
      <c r="B37" s="19" t="s">
        <v>4</v>
      </c>
      <c r="C37" s="20" t="s">
        <v>300</v>
      </c>
      <c r="D37" s="19" t="s">
        <v>110</v>
      </c>
      <c r="E37" s="3">
        <v>120</v>
      </c>
      <c r="F37" s="3">
        <v>1247</v>
      </c>
      <c r="G37" s="3">
        <v>21.95</v>
      </c>
      <c r="H37" s="3">
        <v>31</v>
      </c>
      <c r="I37" s="3">
        <v>107</v>
      </c>
      <c r="J37" s="3">
        <v>31</v>
      </c>
      <c r="K37" s="3">
        <v>378</v>
      </c>
      <c r="L37" s="3">
        <v>0</v>
      </c>
      <c r="M37" s="3">
        <v>4</v>
      </c>
      <c r="N37" s="3">
        <v>32</v>
      </c>
      <c r="O37" s="3" t="s">
        <v>908</v>
      </c>
      <c r="P37" s="3">
        <v>0.54</v>
      </c>
    </row>
    <row r="38" spans="1:16" x14ac:dyDescent="0.3">
      <c r="A38" s="4" t="s">
        <v>259</v>
      </c>
      <c r="B38" s="6" t="s">
        <v>4</v>
      </c>
      <c r="C38" s="3" t="s">
        <v>300</v>
      </c>
      <c r="D38" s="6" t="s">
        <v>110</v>
      </c>
      <c r="E38" s="3">
        <v>141.19999999999999</v>
      </c>
      <c r="F38" s="3">
        <v>1323</v>
      </c>
      <c r="G38" s="3">
        <v>34.08</v>
      </c>
      <c r="H38" s="3">
        <v>66</v>
      </c>
      <c r="I38" s="3">
        <v>131</v>
      </c>
      <c r="J38" s="3">
        <v>937</v>
      </c>
      <c r="K38" s="3">
        <v>384</v>
      </c>
      <c r="L38" s="3">
        <v>0</v>
      </c>
      <c r="M38" s="3">
        <v>10</v>
      </c>
      <c r="N38" s="3">
        <v>35</v>
      </c>
      <c r="O38" s="3" t="s">
        <v>906</v>
      </c>
      <c r="P38" s="3">
        <v>2</v>
      </c>
    </row>
    <row r="39" spans="1:16" x14ac:dyDescent="0.3">
      <c r="A39" s="4" t="s">
        <v>951</v>
      </c>
      <c r="B39" s="6" t="s">
        <v>4</v>
      </c>
      <c r="C39" s="3" t="s">
        <v>300</v>
      </c>
      <c r="D39" s="6" t="s">
        <v>110</v>
      </c>
      <c r="E39" s="3">
        <v>136.05000000000001</v>
      </c>
      <c r="F39" s="3">
        <v>3138</v>
      </c>
      <c r="G39" s="3">
        <v>34.1</v>
      </c>
      <c r="H39" s="3">
        <v>107</v>
      </c>
      <c r="I39" s="3">
        <v>205</v>
      </c>
      <c r="J39" s="3">
        <v>2387</v>
      </c>
      <c r="K39" s="3">
        <v>500</v>
      </c>
      <c r="L39" s="3">
        <v>2</v>
      </c>
      <c r="M39" s="3">
        <v>23</v>
      </c>
      <c r="N39" s="3">
        <v>35</v>
      </c>
      <c r="O39" s="3" t="s">
        <v>906</v>
      </c>
      <c r="P39" s="3">
        <v>4</v>
      </c>
    </row>
    <row r="40" spans="1:16" x14ac:dyDescent="0.3">
      <c r="A40" s="4" t="s">
        <v>119</v>
      </c>
      <c r="B40" s="6" t="s">
        <v>4</v>
      </c>
      <c r="C40" s="3" t="s">
        <v>208</v>
      </c>
      <c r="D40" s="6" t="s">
        <v>110</v>
      </c>
      <c r="E40" s="3">
        <v>150.6</v>
      </c>
      <c r="F40" s="3">
        <v>1755</v>
      </c>
      <c r="G40" s="3">
        <v>37.58</v>
      </c>
      <c r="H40" s="3">
        <v>79</v>
      </c>
      <c r="I40" s="3">
        <v>136</v>
      </c>
      <c r="J40" s="3">
        <v>1165</v>
      </c>
      <c r="K40" s="3">
        <v>276</v>
      </c>
      <c r="L40" s="3">
        <v>1</v>
      </c>
      <c r="M40" s="3">
        <v>7</v>
      </c>
      <c r="N40" s="3">
        <v>27</v>
      </c>
      <c r="O40" s="3" t="s">
        <v>906</v>
      </c>
      <c r="P40" s="3">
        <v>5.65</v>
      </c>
    </row>
    <row r="41" spans="1:16" x14ac:dyDescent="0.3">
      <c r="A41" s="4" t="s">
        <v>128</v>
      </c>
      <c r="B41" s="6" t="s">
        <v>4</v>
      </c>
      <c r="C41" s="3" t="s">
        <v>208</v>
      </c>
      <c r="D41" s="6" t="s">
        <v>110</v>
      </c>
      <c r="E41" s="3">
        <v>142.9</v>
      </c>
      <c r="F41" s="3">
        <v>3901</v>
      </c>
      <c r="G41" s="3">
        <v>24.5</v>
      </c>
      <c r="H41" s="3">
        <v>160</v>
      </c>
      <c r="I41" s="3">
        <v>410</v>
      </c>
      <c r="J41" s="3">
        <v>2729</v>
      </c>
      <c r="K41" s="3">
        <v>1016</v>
      </c>
      <c r="L41" s="3">
        <v>4</v>
      </c>
      <c r="M41" s="3">
        <v>23</v>
      </c>
      <c r="N41" s="3">
        <v>27</v>
      </c>
      <c r="O41" s="3" t="s">
        <v>906</v>
      </c>
      <c r="P41" s="3">
        <v>2</v>
      </c>
    </row>
    <row r="42" spans="1:16" x14ac:dyDescent="0.3">
      <c r="A42" s="4" t="s">
        <v>133</v>
      </c>
      <c r="B42" s="6" t="s">
        <v>4</v>
      </c>
      <c r="C42" s="3" t="s">
        <v>208</v>
      </c>
      <c r="D42" s="6" t="s">
        <v>110</v>
      </c>
      <c r="E42" s="3">
        <v>137.4</v>
      </c>
      <c r="F42" s="3">
        <v>9198</v>
      </c>
      <c r="G42" s="3">
        <v>32.1</v>
      </c>
      <c r="H42" s="3">
        <v>232</v>
      </c>
      <c r="I42" s="3">
        <v>1030</v>
      </c>
      <c r="J42" s="3">
        <v>6693</v>
      </c>
      <c r="K42" s="3">
        <v>2076</v>
      </c>
      <c r="L42" s="3">
        <v>6</v>
      </c>
      <c r="M42" s="3">
        <v>58</v>
      </c>
      <c r="N42" s="3">
        <v>34</v>
      </c>
      <c r="O42" s="3" t="s">
        <v>906</v>
      </c>
      <c r="P42" s="3">
        <v>0.98</v>
      </c>
    </row>
    <row r="43" spans="1:16" x14ac:dyDescent="0.3">
      <c r="A43" s="4" t="s">
        <v>182</v>
      </c>
      <c r="B43" s="6" t="s">
        <v>4</v>
      </c>
      <c r="C43" s="3" t="s">
        <v>208</v>
      </c>
      <c r="D43" s="6" t="s">
        <v>110</v>
      </c>
      <c r="E43" s="3">
        <v>136.80000000000001</v>
      </c>
      <c r="F43" s="3">
        <v>781</v>
      </c>
      <c r="G43" s="3">
        <v>24.5</v>
      </c>
      <c r="H43" s="3">
        <v>39</v>
      </c>
      <c r="I43" s="3">
        <v>56</v>
      </c>
      <c r="J43" s="3">
        <v>571</v>
      </c>
      <c r="K43" s="3">
        <v>191</v>
      </c>
      <c r="L43" s="3">
        <v>0</v>
      </c>
      <c r="M43" s="3">
        <v>5</v>
      </c>
      <c r="N43" s="3">
        <v>22</v>
      </c>
      <c r="O43" s="3" t="s">
        <v>906</v>
      </c>
      <c r="P43" s="3">
        <v>2.6</v>
      </c>
    </row>
    <row r="44" spans="1:16" x14ac:dyDescent="0.3">
      <c r="A44" s="4" t="s">
        <v>827</v>
      </c>
      <c r="B44" s="6" t="s">
        <v>4</v>
      </c>
      <c r="C44" s="3" t="s">
        <v>208</v>
      </c>
      <c r="D44" s="6" t="s">
        <v>110</v>
      </c>
      <c r="E44" s="3">
        <v>123.5</v>
      </c>
      <c r="F44" s="3">
        <v>1797</v>
      </c>
      <c r="G44" s="3">
        <v>18.2</v>
      </c>
      <c r="H44" s="3">
        <v>61</v>
      </c>
      <c r="I44" s="3">
        <v>132</v>
      </c>
      <c r="J44" s="3">
        <v>1455</v>
      </c>
      <c r="K44" s="3">
        <v>373</v>
      </c>
      <c r="L44" s="3">
        <v>0</v>
      </c>
      <c r="M44" s="3">
        <v>5</v>
      </c>
      <c r="N44" s="3">
        <v>36</v>
      </c>
      <c r="O44" s="3" t="s">
        <v>906</v>
      </c>
      <c r="P44" s="3">
        <v>1.55</v>
      </c>
    </row>
    <row r="45" spans="1:16" x14ac:dyDescent="0.3">
      <c r="A45" s="4" t="s">
        <v>978</v>
      </c>
      <c r="B45" s="6" t="s">
        <v>4</v>
      </c>
      <c r="C45" s="3" t="s">
        <v>208</v>
      </c>
      <c r="D45" s="6" t="s">
        <v>110</v>
      </c>
      <c r="E45" s="3">
        <v>136.4</v>
      </c>
      <c r="F45" s="3">
        <v>2642</v>
      </c>
      <c r="G45" s="3">
        <v>22.4</v>
      </c>
      <c r="H45" s="3">
        <v>114</v>
      </c>
      <c r="I45" s="3">
        <v>222</v>
      </c>
      <c r="J45" s="3">
        <v>1937</v>
      </c>
      <c r="K45" s="3">
        <v>523</v>
      </c>
      <c r="L45" s="3">
        <v>0</v>
      </c>
      <c r="M45" s="3">
        <v>12</v>
      </c>
      <c r="N45" s="3">
        <v>29</v>
      </c>
      <c r="O45" s="3" t="s">
        <v>906</v>
      </c>
      <c r="P45" s="3">
        <v>0.36</v>
      </c>
    </row>
    <row r="46" spans="1:16" x14ac:dyDescent="0.3">
      <c r="A46" s="18" t="s">
        <v>161</v>
      </c>
      <c r="B46" s="19" t="s">
        <v>4</v>
      </c>
      <c r="C46" s="3" t="s">
        <v>208</v>
      </c>
      <c r="D46" s="19" t="s">
        <v>110</v>
      </c>
      <c r="E46" s="3">
        <v>134.9</v>
      </c>
      <c r="F46" s="3">
        <v>1501</v>
      </c>
      <c r="G46" s="3">
        <v>25.6</v>
      </c>
      <c r="H46" s="3">
        <v>51</v>
      </c>
      <c r="I46" s="3">
        <v>132</v>
      </c>
      <c r="J46" s="3">
        <v>1113</v>
      </c>
      <c r="K46" s="3">
        <v>346</v>
      </c>
      <c r="L46" s="3">
        <v>0</v>
      </c>
      <c r="M46" s="3">
        <v>11</v>
      </c>
      <c r="N46" s="3">
        <v>24</v>
      </c>
      <c r="O46" s="3" t="s">
        <v>906</v>
      </c>
      <c r="P46" s="3">
        <v>0.35</v>
      </c>
    </row>
    <row r="47" spans="1:16" x14ac:dyDescent="0.3">
      <c r="A47" s="4" t="s">
        <v>137</v>
      </c>
      <c r="B47" s="6" t="s">
        <v>4</v>
      </c>
      <c r="C47" s="3" t="s">
        <v>208</v>
      </c>
      <c r="D47" s="6" t="s">
        <v>110</v>
      </c>
      <c r="E47" s="3">
        <v>134.19999999999999</v>
      </c>
      <c r="F47" s="3">
        <v>3531</v>
      </c>
      <c r="G47" s="3">
        <v>28.3</v>
      </c>
      <c r="H47" s="3">
        <v>77</v>
      </c>
      <c r="I47" s="3">
        <v>337</v>
      </c>
      <c r="J47" s="3">
        <v>2631</v>
      </c>
      <c r="K47" s="3">
        <v>670</v>
      </c>
      <c r="L47" s="3">
        <v>1</v>
      </c>
      <c r="M47" s="3">
        <v>18</v>
      </c>
      <c r="N47" s="3">
        <v>31</v>
      </c>
      <c r="O47" s="3" t="s">
        <v>906</v>
      </c>
      <c r="P47" s="3">
        <v>1.2</v>
      </c>
    </row>
    <row r="48" spans="1:16" x14ac:dyDescent="0.3">
      <c r="A48" s="4" t="s">
        <v>131</v>
      </c>
      <c r="B48" s="6" t="s">
        <v>4</v>
      </c>
      <c r="C48" s="3" t="s">
        <v>208</v>
      </c>
      <c r="D48" s="6" t="s">
        <v>110</v>
      </c>
      <c r="E48" s="3">
        <v>135.4</v>
      </c>
      <c r="F48" s="3">
        <v>2825</v>
      </c>
      <c r="G48" s="3">
        <v>27.1</v>
      </c>
      <c r="H48" s="3">
        <v>106</v>
      </c>
      <c r="I48" s="3">
        <v>225</v>
      </c>
      <c r="J48" s="3">
        <v>2087</v>
      </c>
      <c r="K48" s="3">
        <v>667</v>
      </c>
      <c r="L48" s="3">
        <v>1</v>
      </c>
      <c r="M48" s="3">
        <v>11</v>
      </c>
      <c r="N48" s="3">
        <v>25</v>
      </c>
      <c r="O48" s="3" t="s">
        <v>906</v>
      </c>
      <c r="P48" s="3">
        <v>0.75</v>
      </c>
    </row>
    <row r="49" spans="1:16" x14ac:dyDescent="0.3">
      <c r="A49" s="4" t="s">
        <v>979</v>
      </c>
      <c r="B49" s="6" t="s">
        <v>4</v>
      </c>
      <c r="C49" s="3" t="s">
        <v>208</v>
      </c>
      <c r="D49" s="6" t="s">
        <v>110</v>
      </c>
      <c r="E49" s="3">
        <v>130.4</v>
      </c>
      <c r="F49" s="3">
        <v>3635</v>
      </c>
      <c r="G49" s="3">
        <v>23.8</v>
      </c>
      <c r="H49" s="3">
        <v>128</v>
      </c>
      <c r="I49" s="3">
        <v>330</v>
      </c>
      <c r="J49" s="3">
        <v>2787</v>
      </c>
      <c r="K49" s="3">
        <v>707</v>
      </c>
      <c r="L49" s="3">
        <v>4</v>
      </c>
      <c r="M49" s="3">
        <v>13</v>
      </c>
      <c r="N49" s="3">
        <v>39</v>
      </c>
      <c r="O49" s="3" t="s">
        <v>906</v>
      </c>
      <c r="P49" s="3">
        <v>1</v>
      </c>
    </row>
    <row r="50" spans="1:16" x14ac:dyDescent="0.3">
      <c r="A50" s="4" t="s">
        <v>126</v>
      </c>
      <c r="B50" s="6" t="s">
        <v>4</v>
      </c>
      <c r="C50" s="3" t="s">
        <v>208</v>
      </c>
      <c r="D50" s="6" t="s">
        <v>110</v>
      </c>
      <c r="E50" s="3">
        <v>148.30000000000001</v>
      </c>
      <c r="F50" s="3">
        <v>9529</v>
      </c>
      <c r="G50" s="3">
        <v>29.4</v>
      </c>
      <c r="H50" s="3">
        <v>419</v>
      </c>
      <c r="I50" s="3">
        <v>1025</v>
      </c>
      <c r="J50" s="3">
        <v>6425</v>
      </c>
      <c r="K50" s="3">
        <v>2272</v>
      </c>
      <c r="L50" s="3">
        <v>7</v>
      </c>
      <c r="M50" s="3">
        <v>60</v>
      </c>
      <c r="N50" s="3">
        <v>37</v>
      </c>
      <c r="O50" s="3" t="s">
        <v>906</v>
      </c>
      <c r="P50" s="3">
        <v>1</v>
      </c>
    </row>
    <row r="51" spans="1:16" x14ac:dyDescent="0.3">
      <c r="A51" s="4" t="s">
        <v>392</v>
      </c>
      <c r="B51" s="6" t="s">
        <v>4</v>
      </c>
      <c r="C51" s="3" t="s">
        <v>623</v>
      </c>
      <c r="D51" s="6" t="s">
        <v>110</v>
      </c>
      <c r="E51" s="3">
        <v>185.5</v>
      </c>
      <c r="F51" s="3">
        <v>3247</v>
      </c>
      <c r="G51" s="3">
        <v>26.7</v>
      </c>
      <c r="H51" s="3">
        <v>216</v>
      </c>
      <c r="I51" s="3">
        <v>285</v>
      </c>
      <c r="J51" s="3">
        <v>1750</v>
      </c>
      <c r="K51" s="3">
        <v>582</v>
      </c>
      <c r="L51" s="3">
        <v>2</v>
      </c>
      <c r="M51" s="3">
        <v>7</v>
      </c>
      <c r="N51" s="3">
        <v>26</v>
      </c>
      <c r="O51" s="3" t="s">
        <v>906</v>
      </c>
      <c r="P51" s="3">
        <v>2</v>
      </c>
    </row>
    <row r="52" spans="1:16" x14ac:dyDescent="0.3">
      <c r="A52" s="4" t="s">
        <v>395</v>
      </c>
      <c r="B52" s="6" t="s">
        <v>4</v>
      </c>
      <c r="C52" s="3" t="s">
        <v>623</v>
      </c>
      <c r="D52" s="6" t="s">
        <v>110</v>
      </c>
      <c r="E52" s="3">
        <v>129.69999999999999</v>
      </c>
      <c r="F52" s="3">
        <v>1547</v>
      </c>
      <c r="G52" s="3">
        <v>25.9</v>
      </c>
      <c r="H52" s="3">
        <v>51</v>
      </c>
      <c r="I52" s="3">
        <v>139</v>
      </c>
      <c r="J52" s="3">
        <v>1193</v>
      </c>
      <c r="K52" s="3">
        <v>401</v>
      </c>
      <c r="L52" s="3">
        <v>0</v>
      </c>
      <c r="M52" s="3">
        <v>9</v>
      </c>
      <c r="N52" s="3">
        <v>31</v>
      </c>
      <c r="O52" s="3" t="s">
        <v>906</v>
      </c>
      <c r="P52" s="3">
        <v>2.2799999999999998</v>
      </c>
    </row>
    <row r="53" spans="1:16" x14ac:dyDescent="0.3">
      <c r="A53" s="4" t="s">
        <v>418</v>
      </c>
      <c r="B53" s="6" t="s">
        <v>4</v>
      </c>
      <c r="C53" s="3" t="s">
        <v>623</v>
      </c>
      <c r="D53" s="6" t="s">
        <v>110</v>
      </c>
      <c r="E53" s="3">
        <v>141.5</v>
      </c>
      <c r="F53" s="3">
        <v>979</v>
      </c>
      <c r="G53" s="3">
        <v>22.1</v>
      </c>
      <c r="H53" s="3">
        <v>36</v>
      </c>
      <c r="I53" s="3">
        <v>94</v>
      </c>
      <c r="J53" s="3">
        <v>692</v>
      </c>
      <c r="K53" s="3">
        <v>255</v>
      </c>
      <c r="L53" s="3">
        <v>1</v>
      </c>
      <c r="M53" s="3">
        <v>7</v>
      </c>
      <c r="N53" s="3">
        <v>23</v>
      </c>
      <c r="O53" s="3" t="s">
        <v>906</v>
      </c>
      <c r="P53" s="3">
        <v>0.37</v>
      </c>
    </row>
    <row r="54" spans="1:16" x14ac:dyDescent="0.3">
      <c r="A54" s="4" t="s">
        <v>421</v>
      </c>
      <c r="B54" s="6" t="s">
        <v>4</v>
      </c>
      <c r="C54" s="3" t="s">
        <v>623</v>
      </c>
      <c r="D54" s="6" t="s">
        <v>110</v>
      </c>
      <c r="E54" s="3">
        <v>149.19999999999999</v>
      </c>
      <c r="F54" s="3">
        <v>764</v>
      </c>
      <c r="G54" s="3">
        <v>21.8</v>
      </c>
      <c r="H54" s="3">
        <v>46</v>
      </c>
      <c r="I54" s="3">
        <v>53</v>
      </c>
      <c r="J54" s="3">
        <v>512</v>
      </c>
      <c r="K54" s="3">
        <v>172</v>
      </c>
      <c r="L54" s="3">
        <v>0</v>
      </c>
      <c r="M54" s="3">
        <v>6</v>
      </c>
      <c r="N54" s="3">
        <v>23</v>
      </c>
      <c r="O54" s="3" t="s">
        <v>906</v>
      </c>
      <c r="P54" s="3">
        <v>0.3</v>
      </c>
    </row>
    <row r="55" spans="1:16" x14ac:dyDescent="0.3">
      <c r="A55" s="4" t="s">
        <v>388</v>
      </c>
      <c r="B55" s="6" t="s">
        <v>4</v>
      </c>
      <c r="C55" s="3" t="s">
        <v>623</v>
      </c>
      <c r="D55" s="6" t="s">
        <v>110</v>
      </c>
      <c r="E55" s="3">
        <v>132.6</v>
      </c>
      <c r="F55" s="3">
        <v>2132</v>
      </c>
      <c r="G55" s="3">
        <v>33.5</v>
      </c>
      <c r="H55" s="3">
        <v>64</v>
      </c>
      <c r="I55" s="3">
        <v>186</v>
      </c>
      <c r="J55" s="3">
        <v>1697</v>
      </c>
      <c r="K55" s="3">
        <v>584</v>
      </c>
      <c r="L55" s="3">
        <v>0</v>
      </c>
      <c r="M55" s="3">
        <v>18</v>
      </c>
      <c r="N55" s="3">
        <v>35</v>
      </c>
      <c r="O55" s="3" t="s">
        <v>906</v>
      </c>
      <c r="P55" s="3">
        <v>2</v>
      </c>
    </row>
    <row r="56" spans="1:16" x14ac:dyDescent="0.3">
      <c r="A56" s="4" t="s">
        <v>324</v>
      </c>
      <c r="B56" s="6" t="s">
        <v>4</v>
      </c>
      <c r="C56" s="3" t="s">
        <v>387</v>
      </c>
      <c r="D56" s="6" t="s">
        <v>110</v>
      </c>
      <c r="E56" s="3">
        <v>148.80000000000001</v>
      </c>
      <c r="F56" s="3">
        <v>2193</v>
      </c>
      <c r="G56" s="3">
        <v>24.2</v>
      </c>
      <c r="H56" s="3">
        <v>158</v>
      </c>
      <c r="I56" s="3">
        <v>138</v>
      </c>
      <c r="J56" s="3">
        <v>1474</v>
      </c>
      <c r="K56" s="3">
        <v>543</v>
      </c>
      <c r="L56" s="3">
        <v>2</v>
      </c>
      <c r="M56" s="3">
        <v>11</v>
      </c>
      <c r="N56" s="3">
        <v>22</v>
      </c>
      <c r="O56" s="3" t="s">
        <v>906</v>
      </c>
      <c r="P56" s="3">
        <v>2.2000000000000002</v>
      </c>
    </row>
    <row r="57" spans="1:16" x14ac:dyDescent="0.3">
      <c r="A57" s="18" t="s">
        <v>308</v>
      </c>
      <c r="B57" s="19" t="s">
        <v>4</v>
      </c>
      <c r="C57" s="20" t="s">
        <v>387</v>
      </c>
      <c r="D57" s="19" t="s">
        <v>110</v>
      </c>
      <c r="E57" s="3">
        <v>168.8</v>
      </c>
      <c r="F57" s="3">
        <v>670</v>
      </c>
      <c r="G57" s="3">
        <v>28.9</v>
      </c>
      <c r="H57" s="3">
        <v>38</v>
      </c>
      <c r="I57" s="3">
        <v>47</v>
      </c>
      <c r="J57" s="3">
        <v>397</v>
      </c>
      <c r="K57" s="3">
        <v>86</v>
      </c>
      <c r="L57" s="3">
        <v>0</v>
      </c>
      <c r="M57" s="3">
        <v>3</v>
      </c>
      <c r="N57" s="3">
        <v>25</v>
      </c>
      <c r="O57" s="3" t="s">
        <v>906</v>
      </c>
      <c r="P57" s="3">
        <v>10</v>
      </c>
    </row>
    <row r="58" spans="1:16" x14ac:dyDescent="0.3">
      <c r="A58" s="23" t="s">
        <v>323</v>
      </c>
      <c r="B58" s="6" t="s">
        <v>4</v>
      </c>
      <c r="C58" s="3" t="s">
        <v>387</v>
      </c>
      <c r="D58" s="6" t="s">
        <v>110</v>
      </c>
      <c r="E58" s="3">
        <v>133.69999999999999</v>
      </c>
      <c r="F58" s="3">
        <v>3022</v>
      </c>
      <c r="G58" s="3">
        <v>26.4</v>
      </c>
      <c r="H58" s="3">
        <v>123</v>
      </c>
      <c r="I58" s="3">
        <v>267</v>
      </c>
      <c r="J58" s="3">
        <v>2260</v>
      </c>
      <c r="K58" s="3">
        <v>762</v>
      </c>
      <c r="L58" s="3">
        <v>0</v>
      </c>
      <c r="M58" s="3">
        <v>21</v>
      </c>
      <c r="N58" s="3">
        <v>27</v>
      </c>
      <c r="O58" s="3" t="s">
        <v>906</v>
      </c>
      <c r="P58" s="3">
        <v>10</v>
      </c>
    </row>
    <row r="59" spans="1:16" x14ac:dyDescent="0.3">
      <c r="A59" s="4" t="s">
        <v>980</v>
      </c>
      <c r="B59" s="6" t="s">
        <v>4</v>
      </c>
      <c r="C59" s="3" t="s">
        <v>387</v>
      </c>
      <c r="D59" s="6" t="s">
        <v>110</v>
      </c>
      <c r="E59" s="3">
        <v>136.5</v>
      </c>
      <c r="F59" s="3">
        <v>4372</v>
      </c>
      <c r="G59" s="3">
        <v>32.799999999999997</v>
      </c>
      <c r="H59" s="3">
        <v>157</v>
      </c>
      <c r="I59" s="3">
        <v>410</v>
      </c>
      <c r="J59" s="3">
        <v>3203</v>
      </c>
      <c r="K59" s="3">
        <v>1083</v>
      </c>
      <c r="L59" s="3">
        <v>0</v>
      </c>
      <c r="M59" s="3">
        <v>36</v>
      </c>
      <c r="N59" s="3">
        <v>41</v>
      </c>
      <c r="O59" s="3" t="s">
        <v>906</v>
      </c>
      <c r="P59" s="3">
        <v>2</v>
      </c>
    </row>
    <row r="60" spans="1:16" x14ac:dyDescent="0.3">
      <c r="A60" s="4" t="s">
        <v>1010</v>
      </c>
      <c r="B60" s="6" t="s">
        <v>4</v>
      </c>
      <c r="C60" s="3" t="s">
        <v>387</v>
      </c>
      <c r="D60" s="6" t="s">
        <v>110</v>
      </c>
      <c r="E60" s="3">
        <v>133.1</v>
      </c>
      <c r="F60" s="3">
        <v>4949</v>
      </c>
      <c r="G60" s="3">
        <v>34.200000000000003</v>
      </c>
      <c r="H60" s="3">
        <v>225</v>
      </c>
      <c r="I60" s="3">
        <v>333</v>
      </c>
      <c r="J60" s="3">
        <v>3717</v>
      </c>
      <c r="K60" s="3">
        <v>1085</v>
      </c>
      <c r="L60" s="3">
        <v>3</v>
      </c>
      <c r="M60" s="3">
        <v>28</v>
      </c>
      <c r="N60" s="3">
        <v>37</v>
      </c>
      <c r="O60" s="3" t="s">
        <v>906</v>
      </c>
      <c r="P60" s="3">
        <v>1</v>
      </c>
    </row>
    <row r="61" spans="1:16" x14ac:dyDescent="0.3">
      <c r="A61" s="4" t="s">
        <v>309</v>
      </c>
      <c r="B61" s="6" t="s">
        <v>4</v>
      </c>
      <c r="C61" s="3" t="s">
        <v>387</v>
      </c>
      <c r="D61" s="6" t="s">
        <v>110</v>
      </c>
      <c r="E61" s="3">
        <v>114.6</v>
      </c>
      <c r="F61" s="3">
        <v>924</v>
      </c>
      <c r="G61" s="3">
        <v>31.7</v>
      </c>
      <c r="H61" s="3">
        <v>22</v>
      </c>
      <c r="I61" s="3">
        <v>93</v>
      </c>
      <c r="J61" s="3">
        <v>806</v>
      </c>
      <c r="K61" s="3">
        <v>304</v>
      </c>
      <c r="L61" s="3">
        <v>0</v>
      </c>
      <c r="M61" s="3">
        <v>2</v>
      </c>
      <c r="N61" s="3">
        <v>28</v>
      </c>
      <c r="O61" s="3" t="s">
        <v>906</v>
      </c>
      <c r="P61" s="3">
        <v>0.11</v>
      </c>
    </row>
    <row r="62" spans="1:16" x14ac:dyDescent="0.3">
      <c r="A62" s="4" t="s">
        <v>446</v>
      </c>
      <c r="B62" s="6" t="s">
        <v>4</v>
      </c>
      <c r="C62" s="3" t="s">
        <v>484</v>
      </c>
      <c r="D62" s="6" t="s">
        <v>110</v>
      </c>
      <c r="E62" s="3">
        <v>118</v>
      </c>
      <c r="F62" s="3">
        <v>532</v>
      </c>
      <c r="G62" s="3">
        <v>28.5</v>
      </c>
      <c r="H62" s="3">
        <v>19</v>
      </c>
      <c r="I62" s="3">
        <v>37</v>
      </c>
      <c r="J62" s="3">
        <v>451</v>
      </c>
      <c r="K62" s="3">
        <v>169</v>
      </c>
      <c r="L62" s="3">
        <v>0</v>
      </c>
      <c r="M62" s="3">
        <v>3</v>
      </c>
      <c r="N62" s="3">
        <v>28</v>
      </c>
      <c r="O62" s="3" t="s">
        <v>906</v>
      </c>
      <c r="P62" s="3">
        <v>0.05</v>
      </c>
    </row>
    <row r="63" spans="1:16" x14ac:dyDescent="0.3">
      <c r="A63" s="4" t="s">
        <v>440</v>
      </c>
      <c r="B63" s="6" t="s">
        <v>4</v>
      </c>
      <c r="C63" s="3" t="s">
        <v>484</v>
      </c>
      <c r="D63" s="6" t="s">
        <v>110</v>
      </c>
      <c r="E63" s="3">
        <v>151.80000000000001</v>
      </c>
      <c r="F63" s="3">
        <v>1488</v>
      </c>
      <c r="G63" s="3">
        <v>25.1</v>
      </c>
      <c r="H63" s="3">
        <v>93</v>
      </c>
      <c r="I63" s="3">
        <v>91</v>
      </c>
      <c r="J63" s="3">
        <v>980</v>
      </c>
      <c r="K63" s="3">
        <v>320</v>
      </c>
      <c r="L63" s="3">
        <v>0</v>
      </c>
      <c r="M63" s="3">
        <v>5</v>
      </c>
      <c r="N63" s="3">
        <v>29</v>
      </c>
      <c r="O63" s="3" t="s">
        <v>906</v>
      </c>
      <c r="P63" s="3">
        <v>11</v>
      </c>
    </row>
    <row r="64" spans="1:16" x14ac:dyDescent="0.3">
      <c r="A64" s="4" t="s">
        <v>438</v>
      </c>
      <c r="B64" s="6" t="s">
        <v>4</v>
      </c>
      <c r="C64" s="3" t="s">
        <v>484</v>
      </c>
      <c r="D64" s="6" t="s">
        <v>110</v>
      </c>
      <c r="E64" s="3">
        <v>136.80000000000001</v>
      </c>
      <c r="F64" s="3">
        <v>4772</v>
      </c>
      <c r="G64" s="3">
        <v>23.6</v>
      </c>
      <c r="H64" s="3">
        <v>247</v>
      </c>
      <c r="I64" s="3">
        <v>459</v>
      </c>
      <c r="J64" s="3">
        <v>3488</v>
      </c>
      <c r="K64" s="3">
        <v>1348</v>
      </c>
      <c r="L64" s="3">
        <v>1</v>
      </c>
      <c r="M64" s="3">
        <v>30</v>
      </c>
      <c r="N64" s="3">
        <v>37</v>
      </c>
      <c r="O64" s="3" t="s">
        <v>906</v>
      </c>
      <c r="P64" s="3">
        <v>0.5</v>
      </c>
    </row>
    <row r="65" spans="1:16" x14ac:dyDescent="0.3">
      <c r="A65" s="4" t="s">
        <v>437</v>
      </c>
      <c r="B65" s="6" t="s">
        <v>4</v>
      </c>
      <c r="C65" s="3" t="s">
        <v>484</v>
      </c>
      <c r="D65" s="6" t="s">
        <v>110</v>
      </c>
      <c r="E65" s="3">
        <v>131.5</v>
      </c>
      <c r="F65" s="3">
        <v>2535</v>
      </c>
      <c r="G65" s="3">
        <v>27.3</v>
      </c>
      <c r="H65" s="3">
        <v>129</v>
      </c>
      <c r="I65" s="3">
        <v>251</v>
      </c>
      <c r="J65" s="3">
        <v>1928</v>
      </c>
      <c r="K65" s="3">
        <v>754</v>
      </c>
      <c r="L65" s="3">
        <v>2</v>
      </c>
      <c r="M65" s="3">
        <v>15</v>
      </c>
      <c r="N65" s="3">
        <v>31</v>
      </c>
      <c r="O65" s="3" t="s">
        <v>906</v>
      </c>
      <c r="P65" s="3">
        <v>0.1</v>
      </c>
    </row>
    <row r="66" spans="1:16" x14ac:dyDescent="0.3">
      <c r="A66" s="4" t="s">
        <v>441</v>
      </c>
      <c r="B66" s="6" t="s">
        <v>4</v>
      </c>
      <c r="C66" s="3" t="s">
        <v>484</v>
      </c>
      <c r="D66" s="6" t="s">
        <v>110</v>
      </c>
      <c r="E66" s="3">
        <v>105.1</v>
      </c>
      <c r="F66" s="3">
        <v>413</v>
      </c>
      <c r="G66" s="3">
        <v>26.8</v>
      </c>
      <c r="H66" s="3">
        <v>16</v>
      </c>
      <c r="I66" s="3">
        <v>30</v>
      </c>
      <c r="J66" s="3">
        <v>393</v>
      </c>
      <c r="K66" s="3">
        <v>167</v>
      </c>
      <c r="L66" s="3">
        <v>0</v>
      </c>
      <c r="M66" s="3">
        <v>1</v>
      </c>
      <c r="N66" s="3">
        <v>27</v>
      </c>
      <c r="O66" s="3" t="s">
        <v>906</v>
      </c>
      <c r="P66" s="3">
        <v>0.75</v>
      </c>
    </row>
    <row r="67" spans="1:16" x14ac:dyDescent="0.3">
      <c r="A67" s="4" t="s">
        <v>486</v>
      </c>
      <c r="B67" s="6" t="s">
        <v>4</v>
      </c>
      <c r="C67" s="3" t="s">
        <v>534</v>
      </c>
      <c r="D67" s="6" t="s">
        <v>110</v>
      </c>
      <c r="E67" s="3">
        <v>138.69999999999999</v>
      </c>
      <c r="F67" s="3">
        <v>1075</v>
      </c>
      <c r="G67" s="3">
        <v>29.1</v>
      </c>
      <c r="H67" s="3">
        <v>32</v>
      </c>
      <c r="I67" s="3">
        <v>114</v>
      </c>
      <c r="J67" s="3">
        <v>775</v>
      </c>
      <c r="K67" s="3">
        <v>270</v>
      </c>
      <c r="L67" s="3">
        <v>1</v>
      </c>
      <c r="M67" s="3">
        <v>8</v>
      </c>
      <c r="N67" s="3">
        <v>27</v>
      </c>
      <c r="O67" s="3" t="s">
        <v>906</v>
      </c>
      <c r="P67" s="3">
        <v>4</v>
      </c>
    </row>
    <row r="68" spans="1:16" x14ac:dyDescent="0.3">
      <c r="A68" s="4" t="s">
        <v>487</v>
      </c>
      <c r="B68" s="6" t="s">
        <v>4</v>
      </c>
      <c r="C68" s="3" t="s">
        <v>534</v>
      </c>
      <c r="D68" s="6" t="s">
        <v>110</v>
      </c>
      <c r="E68" s="3">
        <v>128.69999999999999</v>
      </c>
      <c r="F68" s="3">
        <v>960</v>
      </c>
      <c r="G68" s="3">
        <v>30.4</v>
      </c>
      <c r="H68" s="3">
        <v>43</v>
      </c>
      <c r="I68" s="3">
        <v>83</v>
      </c>
      <c r="J68" s="3">
        <v>746</v>
      </c>
      <c r="K68" s="3">
        <v>292</v>
      </c>
      <c r="L68" s="3">
        <v>0</v>
      </c>
      <c r="M68" s="3">
        <v>5</v>
      </c>
      <c r="N68" s="3">
        <v>28</v>
      </c>
      <c r="O68" s="3" t="s">
        <v>906</v>
      </c>
      <c r="P68" s="3">
        <v>0.75</v>
      </c>
    </row>
    <row r="69" spans="1:16" x14ac:dyDescent="0.3">
      <c r="A69" s="4" t="s">
        <v>496</v>
      </c>
      <c r="B69" s="6" t="s">
        <v>4</v>
      </c>
      <c r="C69" s="3" t="s">
        <v>534</v>
      </c>
      <c r="D69" s="6" t="s">
        <v>110</v>
      </c>
      <c r="E69" s="3">
        <v>133.69999999999999</v>
      </c>
      <c r="F69" s="3">
        <v>1790</v>
      </c>
      <c r="G69" s="3">
        <v>24.9</v>
      </c>
      <c r="H69" s="3">
        <v>97</v>
      </c>
      <c r="I69" s="3">
        <v>118</v>
      </c>
      <c r="J69" s="3">
        <v>1339</v>
      </c>
      <c r="K69" s="3">
        <v>479</v>
      </c>
      <c r="L69" s="3">
        <v>0</v>
      </c>
      <c r="M69" s="3">
        <v>8</v>
      </c>
      <c r="N69" s="3">
        <v>34</v>
      </c>
      <c r="O69" s="3" t="s">
        <v>906</v>
      </c>
      <c r="P69" s="3">
        <v>0.75</v>
      </c>
    </row>
    <row r="70" spans="1:16" ht="15" customHeight="1" x14ac:dyDescent="0.3">
      <c r="A70" s="4" t="s">
        <v>494</v>
      </c>
      <c r="B70" s="6" t="s">
        <v>4</v>
      </c>
      <c r="C70" s="3" t="s">
        <v>534</v>
      </c>
      <c r="D70" s="6" t="s">
        <v>110</v>
      </c>
      <c r="E70" s="3">
        <v>146.5</v>
      </c>
      <c r="F70" s="3">
        <v>2138</v>
      </c>
      <c r="G70" s="3">
        <v>25.7</v>
      </c>
      <c r="H70" s="3">
        <v>113</v>
      </c>
      <c r="I70" s="3">
        <v>192</v>
      </c>
      <c r="J70" s="3">
        <v>1459</v>
      </c>
      <c r="K70" s="3">
        <v>542</v>
      </c>
      <c r="L70" s="3">
        <v>1</v>
      </c>
      <c r="M70" s="3">
        <v>17</v>
      </c>
      <c r="N70" s="3">
        <v>27</v>
      </c>
      <c r="O70" s="3" t="s">
        <v>906</v>
      </c>
      <c r="P70" s="3">
        <v>2.8</v>
      </c>
    </row>
    <row r="71" spans="1:16" ht="15.6" customHeight="1" x14ac:dyDescent="0.3">
      <c r="A71" s="4" t="s">
        <v>981</v>
      </c>
      <c r="B71" s="6" t="s">
        <v>4</v>
      </c>
      <c r="C71" s="3" t="s">
        <v>534</v>
      </c>
      <c r="D71" s="6" t="s">
        <v>110</v>
      </c>
      <c r="E71" s="3">
        <v>101.4</v>
      </c>
      <c r="F71" s="3">
        <v>446</v>
      </c>
      <c r="G71" s="3">
        <v>22.4</v>
      </c>
      <c r="H71" s="3">
        <v>12</v>
      </c>
      <c r="I71" s="3">
        <v>39</v>
      </c>
      <c r="J71" s="3">
        <v>440</v>
      </c>
      <c r="K71" s="3">
        <v>174</v>
      </c>
      <c r="L71" s="3">
        <v>0</v>
      </c>
      <c r="M71" s="3">
        <v>2</v>
      </c>
      <c r="N71" s="3">
        <v>34</v>
      </c>
      <c r="O71" s="3" t="s">
        <v>906</v>
      </c>
      <c r="P71" s="3">
        <v>0.59</v>
      </c>
    </row>
    <row r="72" spans="1:16" x14ac:dyDescent="0.3">
      <c r="A72" s="4" t="s">
        <v>982</v>
      </c>
      <c r="B72" s="6" t="s">
        <v>4</v>
      </c>
      <c r="C72" s="3" t="s">
        <v>961</v>
      </c>
      <c r="D72" s="25" t="s">
        <v>110</v>
      </c>
      <c r="E72" s="3">
        <v>126.6</v>
      </c>
      <c r="F72" s="3">
        <v>1280</v>
      </c>
      <c r="G72" s="3">
        <v>23.2</v>
      </c>
      <c r="H72" s="3">
        <v>46</v>
      </c>
      <c r="I72" s="3">
        <v>119</v>
      </c>
      <c r="J72" s="3">
        <v>1011</v>
      </c>
      <c r="K72" s="3">
        <v>363</v>
      </c>
      <c r="L72" s="3">
        <v>0</v>
      </c>
      <c r="M72" s="3">
        <v>9</v>
      </c>
      <c r="N72" s="3">
        <v>24</v>
      </c>
      <c r="O72" s="3" t="s">
        <v>906</v>
      </c>
      <c r="P72" s="3">
        <v>0.37</v>
      </c>
    </row>
    <row r="73" spans="1:16" x14ac:dyDescent="0.3">
      <c r="A73" s="4" t="s">
        <v>983</v>
      </c>
      <c r="B73" s="6" t="s">
        <v>4</v>
      </c>
      <c r="C73" s="3" t="s">
        <v>961</v>
      </c>
      <c r="D73" s="26" t="s">
        <v>110</v>
      </c>
      <c r="E73" s="3">
        <v>140.69999999999999</v>
      </c>
      <c r="F73" s="3">
        <v>1361</v>
      </c>
      <c r="G73" s="3">
        <v>27.5</v>
      </c>
      <c r="H73" s="3">
        <v>0</v>
      </c>
      <c r="I73" s="3">
        <v>105</v>
      </c>
      <c r="J73" s="3">
        <v>967</v>
      </c>
      <c r="K73" s="3">
        <v>295</v>
      </c>
      <c r="L73" s="3">
        <v>0</v>
      </c>
      <c r="M73" s="3">
        <v>10</v>
      </c>
      <c r="N73" s="3">
        <v>22</v>
      </c>
      <c r="O73" s="3" t="s">
        <v>908</v>
      </c>
      <c r="P73" s="3">
        <v>0</v>
      </c>
    </row>
    <row r="74" spans="1:16" x14ac:dyDescent="0.3">
      <c r="A74" s="4" t="s">
        <v>984</v>
      </c>
      <c r="B74" s="6" t="s">
        <v>4</v>
      </c>
      <c r="C74" s="3" t="s">
        <v>961</v>
      </c>
      <c r="D74" s="26" t="s">
        <v>110</v>
      </c>
      <c r="E74" s="3">
        <v>122.1</v>
      </c>
      <c r="F74" s="3">
        <v>917</v>
      </c>
      <c r="G74" s="3">
        <v>26</v>
      </c>
      <c r="H74" s="3">
        <v>31</v>
      </c>
      <c r="I74" s="3">
        <v>68</v>
      </c>
      <c r="J74" s="3">
        <v>751</v>
      </c>
      <c r="K74" s="3">
        <v>222</v>
      </c>
      <c r="L74" s="3">
        <v>0</v>
      </c>
      <c r="M74" s="3">
        <v>4</v>
      </c>
      <c r="N74" s="3">
        <v>27</v>
      </c>
      <c r="O74" s="3" t="s">
        <v>908</v>
      </c>
      <c r="P74" s="3">
        <v>0</v>
      </c>
    </row>
    <row r="75" spans="1:16" x14ac:dyDescent="0.3">
      <c r="A75" s="4" t="s">
        <v>985</v>
      </c>
      <c r="B75" s="6" t="s">
        <v>4</v>
      </c>
      <c r="C75" s="3" t="s">
        <v>961</v>
      </c>
      <c r="D75" s="26" t="s">
        <v>110</v>
      </c>
      <c r="E75" s="3">
        <v>119.1</v>
      </c>
      <c r="F75" s="3">
        <v>906</v>
      </c>
      <c r="G75" s="3">
        <v>23.41</v>
      </c>
      <c r="H75" s="3">
        <v>41</v>
      </c>
      <c r="I75" s="3">
        <v>83</v>
      </c>
      <c r="J75" s="3">
        <v>761</v>
      </c>
      <c r="K75" s="3">
        <v>353</v>
      </c>
      <c r="L75" s="3">
        <v>0</v>
      </c>
      <c r="M75" s="3">
        <v>4</v>
      </c>
      <c r="N75" s="3">
        <v>25</v>
      </c>
      <c r="O75" s="3" t="s">
        <v>908</v>
      </c>
      <c r="P75" s="3">
        <v>0</v>
      </c>
    </row>
    <row r="76" spans="1:16" x14ac:dyDescent="0.3">
      <c r="A76" s="4" t="s">
        <v>986</v>
      </c>
      <c r="B76" s="6" t="s">
        <v>4</v>
      </c>
      <c r="C76" s="3" t="s">
        <v>961</v>
      </c>
      <c r="D76" s="6" t="s">
        <v>110</v>
      </c>
      <c r="E76" s="3">
        <v>133.1</v>
      </c>
      <c r="F76" s="3">
        <v>1335</v>
      </c>
      <c r="G76" s="3">
        <v>27.33</v>
      </c>
      <c r="H76" s="3">
        <v>69</v>
      </c>
      <c r="I76" s="3">
        <v>11</v>
      </c>
      <c r="J76" s="3">
        <v>1003</v>
      </c>
      <c r="K76" s="3">
        <v>407</v>
      </c>
      <c r="L76" s="3">
        <v>0</v>
      </c>
      <c r="M76" s="3">
        <v>9</v>
      </c>
      <c r="N76" s="3">
        <v>21</v>
      </c>
      <c r="O76" s="3" t="s">
        <v>908</v>
      </c>
      <c r="P76" s="3">
        <v>1.25</v>
      </c>
    </row>
    <row r="77" spans="1:16" x14ac:dyDescent="0.3">
      <c r="A77" s="4" t="s">
        <v>987</v>
      </c>
      <c r="B77" s="24" t="s">
        <v>4</v>
      </c>
      <c r="C77" s="3" t="s">
        <v>974</v>
      </c>
      <c r="D77" s="6" t="s">
        <v>110</v>
      </c>
      <c r="E77" s="3">
        <v>136.4</v>
      </c>
      <c r="F77" s="3">
        <v>1294</v>
      </c>
      <c r="G77" s="3">
        <v>28</v>
      </c>
      <c r="H77" s="3">
        <v>78</v>
      </c>
      <c r="I77" s="3">
        <v>95</v>
      </c>
      <c r="J77" s="3">
        <v>949</v>
      </c>
      <c r="K77" s="3">
        <v>397</v>
      </c>
      <c r="L77" s="3">
        <v>3</v>
      </c>
      <c r="M77" s="3">
        <v>7</v>
      </c>
      <c r="N77" s="3">
        <v>26</v>
      </c>
      <c r="O77" s="3" t="s">
        <v>906</v>
      </c>
      <c r="P77" s="3">
        <v>0.16</v>
      </c>
    </row>
    <row r="78" spans="1:16" x14ac:dyDescent="0.3">
      <c r="A78" s="4" t="s">
        <v>988</v>
      </c>
      <c r="B78" s="6" t="s">
        <v>4</v>
      </c>
      <c r="C78" s="3" t="s">
        <v>974</v>
      </c>
      <c r="D78" s="6" t="s">
        <v>110</v>
      </c>
      <c r="E78" s="3">
        <v>129</v>
      </c>
      <c r="F78" s="3">
        <v>1076</v>
      </c>
      <c r="G78" s="3">
        <v>28.36</v>
      </c>
      <c r="H78" s="3">
        <v>66</v>
      </c>
      <c r="I78" s="3">
        <v>80</v>
      </c>
      <c r="J78" s="3">
        <v>834</v>
      </c>
      <c r="K78" s="3">
        <v>369</v>
      </c>
      <c r="L78" s="3">
        <v>1</v>
      </c>
      <c r="M78" s="3">
        <v>6</v>
      </c>
      <c r="N78" s="3">
        <v>23</v>
      </c>
      <c r="O78" s="3" t="s">
        <v>906</v>
      </c>
      <c r="P78" s="3">
        <v>0.26</v>
      </c>
    </row>
    <row r="79" spans="1:16" x14ac:dyDescent="0.3">
      <c r="A79" s="4" t="s">
        <v>989</v>
      </c>
      <c r="B79" s="6" t="s">
        <v>4</v>
      </c>
      <c r="C79" s="3" t="s">
        <v>568</v>
      </c>
      <c r="D79" s="6" t="s">
        <v>110</v>
      </c>
      <c r="E79" s="3">
        <v>122.1</v>
      </c>
      <c r="F79" s="3">
        <v>2026</v>
      </c>
      <c r="G79" s="3">
        <v>29.06</v>
      </c>
      <c r="H79" s="3">
        <v>51</v>
      </c>
      <c r="I79" s="3">
        <v>215</v>
      </c>
      <c r="J79" s="3">
        <v>1659</v>
      </c>
      <c r="K79" s="3">
        <v>625</v>
      </c>
      <c r="L79" s="3">
        <v>1</v>
      </c>
      <c r="M79" s="3">
        <v>14</v>
      </c>
      <c r="N79" s="3">
        <v>31</v>
      </c>
      <c r="O79" s="3" t="s">
        <v>906</v>
      </c>
      <c r="P79" s="3">
        <v>0</v>
      </c>
    </row>
    <row r="80" spans="1:16" x14ac:dyDescent="0.3">
      <c r="A80" s="4" t="s">
        <v>565</v>
      </c>
      <c r="B80" s="6" t="s">
        <v>4</v>
      </c>
      <c r="C80" s="3" t="s">
        <v>568</v>
      </c>
      <c r="D80" s="6" t="s">
        <v>110</v>
      </c>
      <c r="E80" s="3">
        <v>144.80000000000001</v>
      </c>
      <c r="F80" s="3">
        <v>908</v>
      </c>
      <c r="G80" s="3">
        <v>27.8</v>
      </c>
      <c r="H80" s="3">
        <v>51</v>
      </c>
      <c r="I80" s="3">
        <v>76</v>
      </c>
      <c r="J80" s="3">
        <v>627</v>
      </c>
      <c r="K80" s="3">
        <v>259</v>
      </c>
      <c r="L80" s="3">
        <v>1</v>
      </c>
      <c r="M80" s="3">
        <v>6</v>
      </c>
      <c r="N80" s="3">
        <v>22</v>
      </c>
      <c r="O80" s="3" t="s">
        <v>908</v>
      </c>
      <c r="P80" s="3">
        <v>0</v>
      </c>
    </row>
    <row r="81" spans="1:16" x14ac:dyDescent="0.3">
      <c r="A81" s="4" t="s">
        <v>990</v>
      </c>
      <c r="B81" s="6" t="s">
        <v>4</v>
      </c>
      <c r="C81" s="3" t="s">
        <v>568</v>
      </c>
      <c r="D81" s="6" t="s">
        <v>110</v>
      </c>
      <c r="E81" s="3">
        <v>103.2</v>
      </c>
      <c r="F81" s="3">
        <v>96</v>
      </c>
      <c r="G81" s="3">
        <v>12.16</v>
      </c>
      <c r="H81" s="3">
        <v>3</v>
      </c>
      <c r="I81" s="3">
        <v>5</v>
      </c>
      <c r="J81" s="3">
        <v>93</v>
      </c>
      <c r="K81" s="3">
        <v>35</v>
      </c>
      <c r="L81" s="3">
        <v>0</v>
      </c>
      <c r="M81" s="3">
        <v>0</v>
      </c>
      <c r="N81" s="3">
        <v>20</v>
      </c>
      <c r="O81" s="3" t="s">
        <v>908</v>
      </c>
      <c r="P81" s="3">
        <v>0</v>
      </c>
    </row>
    <row r="82" spans="1:16" x14ac:dyDescent="0.3">
      <c r="A82" s="4" t="s">
        <v>569</v>
      </c>
      <c r="B82" s="6" t="s">
        <v>4</v>
      </c>
      <c r="C82" s="3" t="s">
        <v>578</v>
      </c>
      <c r="D82" s="6" t="s">
        <v>110</v>
      </c>
      <c r="E82" s="3">
        <v>132</v>
      </c>
      <c r="F82" s="3">
        <v>750</v>
      </c>
      <c r="G82" s="3">
        <v>27.32</v>
      </c>
      <c r="H82" s="3">
        <v>27</v>
      </c>
      <c r="I82" s="3">
        <v>76</v>
      </c>
      <c r="J82" s="3">
        <v>568</v>
      </c>
      <c r="K82" s="3">
        <v>229</v>
      </c>
      <c r="L82" s="3">
        <v>0</v>
      </c>
      <c r="M82" s="3">
        <v>5</v>
      </c>
      <c r="N82" s="3">
        <v>32</v>
      </c>
      <c r="O82" s="3" t="s">
        <v>906</v>
      </c>
      <c r="P82" s="3">
        <v>0.32</v>
      </c>
    </row>
    <row r="83" spans="1:16" x14ac:dyDescent="0.3">
      <c r="A83" s="4" t="s">
        <v>576</v>
      </c>
      <c r="B83" s="6" t="s">
        <v>4</v>
      </c>
      <c r="C83" s="3" t="s">
        <v>578</v>
      </c>
      <c r="D83" s="6" t="s">
        <v>110</v>
      </c>
      <c r="E83" s="3">
        <v>131.4</v>
      </c>
      <c r="F83" s="3">
        <v>230</v>
      </c>
      <c r="G83" s="3">
        <v>40.94</v>
      </c>
      <c r="H83" s="3">
        <v>9</v>
      </c>
      <c r="I83" s="3">
        <v>22</v>
      </c>
      <c r="J83" s="3">
        <v>175</v>
      </c>
      <c r="K83" s="3">
        <v>66</v>
      </c>
      <c r="L83" s="3">
        <v>0</v>
      </c>
      <c r="M83" s="3">
        <v>1</v>
      </c>
      <c r="N83" s="3">
        <v>21</v>
      </c>
      <c r="O83" s="3" t="s">
        <v>908</v>
      </c>
      <c r="P83" s="3">
        <v>0.03</v>
      </c>
    </row>
    <row r="84" spans="1:16" x14ac:dyDescent="0.3">
      <c r="A84" s="4" t="s">
        <v>547</v>
      </c>
      <c r="B84" s="6" t="s">
        <v>4</v>
      </c>
      <c r="C84" s="3" t="s">
        <v>557</v>
      </c>
      <c r="D84" s="26" t="s">
        <v>110</v>
      </c>
      <c r="E84" s="3">
        <v>142.4</v>
      </c>
      <c r="F84" s="3">
        <v>2401</v>
      </c>
      <c r="G84" s="3">
        <v>26.31</v>
      </c>
      <c r="H84" s="3">
        <v>112</v>
      </c>
      <c r="I84" s="3">
        <v>259</v>
      </c>
      <c r="J84" s="3">
        <v>1686</v>
      </c>
      <c r="K84" s="3">
        <v>491</v>
      </c>
      <c r="L84" s="3">
        <v>2</v>
      </c>
      <c r="M84" s="3">
        <v>14</v>
      </c>
      <c r="N84" s="3">
        <v>35</v>
      </c>
      <c r="O84" s="3" t="s">
        <v>906</v>
      </c>
      <c r="P84" s="3">
        <v>0.21</v>
      </c>
    </row>
    <row r="85" spans="1:16" x14ac:dyDescent="0.3">
      <c r="A85" s="4" t="s">
        <v>555</v>
      </c>
      <c r="B85" s="6" t="s">
        <v>4</v>
      </c>
      <c r="C85" s="3" t="s">
        <v>557</v>
      </c>
      <c r="D85" s="26" t="s">
        <v>110</v>
      </c>
      <c r="E85" s="3">
        <v>135.6</v>
      </c>
      <c r="F85" s="3">
        <v>457</v>
      </c>
      <c r="G85" s="3">
        <v>23.95</v>
      </c>
      <c r="H85" s="3">
        <v>25</v>
      </c>
      <c r="I85" s="3">
        <v>44</v>
      </c>
      <c r="J85" s="3">
        <v>337</v>
      </c>
      <c r="K85" s="3">
        <v>162</v>
      </c>
      <c r="L85" s="3">
        <v>1</v>
      </c>
      <c r="M85" s="3">
        <v>1</v>
      </c>
      <c r="N85" s="3">
        <v>31</v>
      </c>
      <c r="O85" s="3" t="s">
        <v>906</v>
      </c>
      <c r="P85" s="3">
        <v>0</v>
      </c>
    </row>
    <row r="86" spans="1:16" x14ac:dyDescent="0.3">
      <c r="A86" s="4" t="s">
        <v>549</v>
      </c>
      <c r="B86" s="6" t="s">
        <v>4</v>
      </c>
      <c r="C86" s="3" t="s">
        <v>557</v>
      </c>
      <c r="D86" s="26" t="s">
        <v>110</v>
      </c>
      <c r="E86" s="3">
        <v>125</v>
      </c>
      <c r="F86" s="3">
        <v>3098</v>
      </c>
      <c r="G86" s="3">
        <v>26.25</v>
      </c>
      <c r="H86" s="3">
        <v>88</v>
      </c>
      <c r="I86" s="3">
        <v>256</v>
      </c>
      <c r="J86" s="3">
        <v>2480</v>
      </c>
      <c r="K86" s="3">
        <v>765</v>
      </c>
      <c r="L86" s="3">
        <v>0</v>
      </c>
      <c r="M86" s="3">
        <v>13</v>
      </c>
      <c r="N86" s="3">
        <v>26</v>
      </c>
      <c r="O86" s="3" t="s">
        <v>906</v>
      </c>
      <c r="P86" s="3">
        <v>0.17</v>
      </c>
    </row>
    <row r="87" spans="1:16" x14ac:dyDescent="0.3">
      <c r="A87" s="4" t="s">
        <v>991</v>
      </c>
      <c r="B87" s="6" t="s">
        <v>4</v>
      </c>
      <c r="C87" s="3" t="s">
        <v>546</v>
      </c>
      <c r="D87" s="26" t="s">
        <v>110</v>
      </c>
      <c r="E87" s="3">
        <v>134.19999999999999</v>
      </c>
      <c r="F87" s="3">
        <v>4322</v>
      </c>
      <c r="G87" s="3">
        <v>27.01</v>
      </c>
      <c r="H87" s="3">
        <v>116</v>
      </c>
      <c r="I87" s="3">
        <v>423</v>
      </c>
      <c r="J87" s="3">
        <v>3489</v>
      </c>
      <c r="K87" s="3">
        <v>1276</v>
      </c>
      <c r="L87" s="3">
        <v>3</v>
      </c>
      <c r="M87" s="3">
        <v>26</v>
      </c>
      <c r="N87" s="3">
        <v>40</v>
      </c>
      <c r="O87" s="3" t="s">
        <v>906</v>
      </c>
      <c r="P87" s="3">
        <v>0.3</v>
      </c>
    </row>
    <row r="88" spans="1:16" x14ac:dyDescent="0.3">
      <c r="A88" s="4" t="s">
        <v>992</v>
      </c>
      <c r="B88" s="6" t="s">
        <v>4</v>
      </c>
      <c r="C88" s="3" t="s">
        <v>546</v>
      </c>
      <c r="D88" s="6" t="s">
        <v>110</v>
      </c>
      <c r="E88" s="3">
        <v>104.3</v>
      </c>
      <c r="F88" s="3">
        <v>367</v>
      </c>
      <c r="G88" s="3">
        <v>18.920000000000002</v>
      </c>
      <c r="H88" s="3">
        <v>8</v>
      </c>
      <c r="I88" s="3">
        <v>28</v>
      </c>
      <c r="J88" s="3">
        <v>352</v>
      </c>
      <c r="K88" s="3">
        <v>139</v>
      </c>
      <c r="L88" s="3">
        <v>0</v>
      </c>
      <c r="M88" s="3">
        <v>0</v>
      </c>
      <c r="N88" s="3">
        <v>28</v>
      </c>
      <c r="O88" s="3" t="s">
        <v>906</v>
      </c>
      <c r="P88" s="3">
        <v>0</v>
      </c>
    </row>
    <row r="89" spans="1:16" x14ac:dyDescent="0.3">
      <c r="A89" s="4" t="s">
        <v>1012</v>
      </c>
      <c r="B89" s="6" t="s">
        <v>4</v>
      </c>
      <c r="C89" s="3" t="s">
        <v>546</v>
      </c>
      <c r="D89" s="6" t="s">
        <v>110</v>
      </c>
      <c r="E89" s="3">
        <v>132.69999999999999</v>
      </c>
      <c r="F89" s="3">
        <v>1457</v>
      </c>
      <c r="G89" s="3">
        <v>35.85</v>
      </c>
      <c r="H89" s="3">
        <v>41</v>
      </c>
      <c r="I89" s="3">
        <v>158</v>
      </c>
      <c r="J89" s="3">
        <v>1098</v>
      </c>
      <c r="K89" s="3">
        <v>418</v>
      </c>
      <c r="L89" s="3">
        <v>0</v>
      </c>
      <c r="M89" s="3">
        <v>8</v>
      </c>
      <c r="N89" s="3">
        <v>23</v>
      </c>
      <c r="O89" s="3" t="s">
        <v>906</v>
      </c>
      <c r="P89" s="3">
        <v>0</v>
      </c>
    </row>
    <row r="90" spans="1:16" x14ac:dyDescent="0.3">
      <c r="A90" s="4" t="s">
        <v>581</v>
      </c>
      <c r="B90" s="6" t="s">
        <v>4</v>
      </c>
      <c r="C90" s="3" t="s">
        <v>589</v>
      </c>
      <c r="D90" s="6" t="s">
        <v>110</v>
      </c>
      <c r="E90" s="3">
        <v>127.1</v>
      </c>
      <c r="F90" s="3">
        <v>1438</v>
      </c>
      <c r="G90" s="3">
        <v>28.2</v>
      </c>
      <c r="H90" s="3">
        <v>62</v>
      </c>
      <c r="I90" s="3">
        <v>133</v>
      </c>
      <c r="J90" s="3">
        <v>1131</v>
      </c>
      <c r="K90" s="3">
        <v>484</v>
      </c>
      <c r="L90" s="3">
        <v>1</v>
      </c>
      <c r="M90" s="3">
        <v>10</v>
      </c>
      <c r="N90" s="3">
        <v>26</v>
      </c>
      <c r="O90" s="3" t="s">
        <v>906</v>
      </c>
      <c r="P90" s="3">
        <v>0.13</v>
      </c>
    </row>
    <row r="91" spans="1:16" x14ac:dyDescent="0.3">
      <c r="A91" s="4" t="s">
        <v>586</v>
      </c>
      <c r="B91" s="6" t="s">
        <v>4</v>
      </c>
      <c r="C91" s="3" t="s">
        <v>589</v>
      </c>
      <c r="D91" s="6" t="s">
        <v>110</v>
      </c>
      <c r="E91" s="3">
        <v>122.8</v>
      </c>
      <c r="F91" s="3">
        <v>404</v>
      </c>
      <c r="G91" s="3">
        <v>19.48</v>
      </c>
      <c r="H91" s="3">
        <v>18</v>
      </c>
      <c r="I91" s="3">
        <v>22</v>
      </c>
      <c r="J91" s="3">
        <v>329</v>
      </c>
      <c r="K91" s="3">
        <v>120</v>
      </c>
      <c r="L91" s="3">
        <v>0</v>
      </c>
      <c r="M91" s="3">
        <v>4</v>
      </c>
      <c r="N91" s="3">
        <v>23</v>
      </c>
      <c r="O91" s="3" t="s">
        <v>908</v>
      </c>
      <c r="P91" s="3">
        <v>0.09</v>
      </c>
    </row>
  </sheetData>
  <autoFilter ref="O1:O37" xr:uid="{263CF19F-8CED-4AD1-A67D-ED1171BE659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55E5-665B-4D2F-BCEB-D83890BE6B52}">
  <dimension ref="A1:R109"/>
  <sheetViews>
    <sheetView workbookViewId="0">
      <pane xSplit="1" topLeftCell="F1" activePane="topRight" state="frozen"/>
      <selection pane="topRight" activeCell="R109" sqref="R109"/>
    </sheetView>
  </sheetViews>
  <sheetFormatPr defaultRowHeight="14.4" x14ac:dyDescent="0.3"/>
  <cols>
    <col min="1" max="1" width="23.109375" customWidth="1"/>
    <col min="2" max="2" width="16.44140625" customWidth="1"/>
    <col min="3" max="3" width="13.5546875" customWidth="1"/>
    <col min="4" max="4" width="25.21875" customWidth="1"/>
    <col min="5" max="6" width="13.77734375" customWidth="1"/>
    <col min="7" max="7" width="10.5546875" bestFit="1" customWidth="1"/>
    <col min="8" max="8" width="12.21875" customWidth="1"/>
    <col min="9" max="9" width="14.77734375" customWidth="1"/>
    <col min="10" max="10" width="14" customWidth="1"/>
    <col min="11" max="11" width="11.88671875" customWidth="1"/>
    <col min="12" max="12" width="13.88671875" customWidth="1"/>
    <col min="13" max="13" width="11.21875" customWidth="1"/>
    <col min="14" max="15" width="11" customWidth="1"/>
    <col min="16" max="16" width="15.77734375" customWidth="1"/>
    <col min="17" max="17" width="18.33203125" customWidth="1"/>
    <col min="18" max="18" width="28.33203125" style="3" customWidth="1"/>
  </cols>
  <sheetData>
    <row r="1" spans="1:18" ht="38.4" customHeight="1" x14ac:dyDescent="0.3">
      <c r="A1" s="1" t="s">
        <v>1</v>
      </c>
      <c r="B1" s="1" t="s">
        <v>2</v>
      </c>
      <c r="C1" s="1" t="s">
        <v>70</v>
      </c>
      <c r="D1" s="1" t="s">
        <v>109</v>
      </c>
      <c r="E1" s="1" t="s">
        <v>928</v>
      </c>
      <c r="F1" s="1" t="s">
        <v>938</v>
      </c>
      <c r="G1" s="1" t="s">
        <v>929</v>
      </c>
      <c r="H1" s="1" t="s">
        <v>930</v>
      </c>
      <c r="I1" s="1" t="s">
        <v>931</v>
      </c>
      <c r="J1" s="1" t="s">
        <v>932</v>
      </c>
      <c r="K1" s="1" t="s">
        <v>933</v>
      </c>
      <c r="L1" s="1" t="s">
        <v>934</v>
      </c>
      <c r="M1" s="1" t="s">
        <v>939</v>
      </c>
      <c r="N1" s="1" t="s">
        <v>935</v>
      </c>
      <c r="O1" s="1" t="s">
        <v>937</v>
      </c>
      <c r="P1" s="1" t="s">
        <v>904</v>
      </c>
      <c r="Q1" s="15" t="s">
        <v>936</v>
      </c>
      <c r="R1" s="4" t="s">
        <v>1011</v>
      </c>
    </row>
    <row r="2" spans="1:18" x14ac:dyDescent="0.3">
      <c r="A2" s="21" t="s">
        <v>590</v>
      </c>
      <c r="B2" s="8" t="s">
        <v>4</v>
      </c>
      <c r="C2" s="8" t="s">
        <v>71</v>
      </c>
      <c r="D2" s="8" t="s">
        <v>924</v>
      </c>
      <c r="E2" s="3">
        <v>5.5</v>
      </c>
      <c r="F2" s="3">
        <v>7.3</v>
      </c>
      <c r="G2" s="3">
        <v>23.55</v>
      </c>
      <c r="H2" s="3">
        <v>186</v>
      </c>
      <c r="I2" s="3">
        <v>4055</v>
      </c>
      <c r="J2" s="3">
        <v>124</v>
      </c>
      <c r="K2" s="3">
        <v>362</v>
      </c>
      <c r="L2" s="3">
        <v>1421</v>
      </c>
      <c r="M2" s="3">
        <v>7</v>
      </c>
      <c r="N2" s="3">
        <v>2</v>
      </c>
      <c r="O2" s="3">
        <v>6</v>
      </c>
      <c r="P2" s="3">
        <v>32</v>
      </c>
      <c r="Q2" s="9" t="s">
        <v>906</v>
      </c>
      <c r="R2" s="3">
        <v>18</v>
      </c>
    </row>
    <row r="3" spans="1:18" x14ac:dyDescent="0.3">
      <c r="A3" s="4" t="s">
        <v>920</v>
      </c>
      <c r="B3" s="3" t="s">
        <v>4</v>
      </c>
      <c r="C3" s="3" t="s">
        <v>71</v>
      </c>
      <c r="D3" s="3" t="s">
        <v>924</v>
      </c>
      <c r="E3" s="3">
        <v>4.7</v>
      </c>
      <c r="F3" s="3">
        <v>8.6999999999999993</v>
      </c>
      <c r="G3" s="3">
        <v>25.33</v>
      </c>
      <c r="H3" s="3">
        <v>109</v>
      </c>
      <c r="I3" s="3">
        <v>3349</v>
      </c>
      <c r="J3" s="3">
        <v>151</v>
      </c>
      <c r="K3" s="3">
        <v>334</v>
      </c>
      <c r="L3" s="3">
        <v>1004</v>
      </c>
      <c r="M3" s="3">
        <v>7</v>
      </c>
      <c r="N3" s="3">
        <v>0</v>
      </c>
      <c r="O3" s="3">
        <v>4</v>
      </c>
      <c r="P3" s="3">
        <v>31</v>
      </c>
      <c r="Q3" s="9" t="s">
        <v>906</v>
      </c>
      <c r="R3" s="3">
        <v>12.25</v>
      </c>
    </row>
    <row r="4" spans="1:18" x14ac:dyDescent="0.3">
      <c r="A4" s="4" t="s">
        <v>921</v>
      </c>
      <c r="B4" s="3" t="s">
        <v>4</v>
      </c>
      <c r="C4" s="3" t="s">
        <v>71</v>
      </c>
      <c r="D4" s="3" t="s">
        <v>924</v>
      </c>
      <c r="E4" s="3">
        <v>5.0999999999999996</v>
      </c>
      <c r="F4" s="3">
        <v>8.6</v>
      </c>
      <c r="G4" s="3">
        <v>19.59</v>
      </c>
      <c r="H4" s="3">
        <v>133</v>
      </c>
      <c r="I4" s="3">
        <v>3757</v>
      </c>
      <c r="J4" s="3">
        <v>144</v>
      </c>
      <c r="K4" s="3">
        <v>398</v>
      </c>
      <c r="L4" s="3">
        <v>1096</v>
      </c>
      <c r="M4" s="3">
        <v>9</v>
      </c>
      <c r="N4" s="3">
        <v>0</v>
      </c>
      <c r="O4" s="3">
        <v>3</v>
      </c>
      <c r="P4" s="3">
        <v>35</v>
      </c>
      <c r="Q4" s="9" t="s">
        <v>906</v>
      </c>
      <c r="R4" s="3">
        <v>10</v>
      </c>
    </row>
    <row r="5" spans="1:18" x14ac:dyDescent="0.3">
      <c r="A5" s="4" t="s">
        <v>592</v>
      </c>
      <c r="B5" s="3" t="s">
        <v>4</v>
      </c>
      <c r="C5" s="3" t="s">
        <v>71</v>
      </c>
      <c r="D5" s="3" t="s">
        <v>924</v>
      </c>
      <c r="E5" s="3">
        <v>7.5</v>
      </c>
      <c r="F5" s="3">
        <v>9</v>
      </c>
      <c r="G5" s="3">
        <v>26.49</v>
      </c>
      <c r="H5" s="3">
        <v>97</v>
      </c>
      <c r="I5" s="3">
        <v>2569</v>
      </c>
      <c r="J5" s="3">
        <v>80</v>
      </c>
      <c r="K5" s="3">
        <v>278</v>
      </c>
      <c r="L5" s="3">
        <v>640</v>
      </c>
      <c r="M5" s="3">
        <v>10</v>
      </c>
      <c r="N5" s="3">
        <v>1</v>
      </c>
      <c r="O5" s="3">
        <v>2</v>
      </c>
      <c r="P5" s="3">
        <v>27</v>
      </c>
      <c r="Q5" s="9" t="s">
        <v>906</v>
      </c>
      <c r="R5" s="3">
        <v>18</v>
      </c>
    </row>
    <row r="6" spans="1:18" x14ac:dyDescent="0.3">
      <c r="A6" s="4" t="s">
        <v>593</v>
      </c>
      <c r="B6" s="3" t="s">
        <v>4</v>
      </c>
      <c r="C6" s="3" t="s">
        <v>71</v>
      </c>
      <c r="D6" s="3" t="s">
        <v>925</v>
      </c>
      <c r="E6" s="3">
        <v>20.239999999999998</v>
      </c>
      <c r="F6" s="3">
        <v>8.08</v>
      </c>
      <c r="G6" s="3">
        <v>27.24</v>
      </c>
      <c r="H6" s="3">
        <v>102</v>
      </c>
      <c r="I6" s="3">
        <v>2751</v>
      </c>
      <c r="J6" s="3">
        <v>144</v>
      </c>
      <c r="K6" s="3">
        <v>140</v>
      </c>
      <c r="L6" s="3">
        <v>646</v>
      </c>
      <c r="M6" s="3">
        <v>6</v>
      </c>
      <c r="N6" s="3">
        <v>0</v>
      </c>
      <c r="O6" s="3">
        <v>1</v>
      </c>
      <c r="P6" s="3">
        <v>31</v>
      </c>
      <c r="Q6" s="9" t="s">
        <v>906</v>
      </c>
      <c r="R6" s="3">
        <v>13.25</v>
      </c>
    </row>
    <row r="7" spans="1:18" x14ac:dyDescent="0.3">
      <c r="A7" s="4" t="s">
        <v>676</v>
      </c>
      <c r="B7" s="3" t="s">
        <v>108</v>
      </c>
      <c r="C7" s="3" t="s">
        <v>71</v>
      </c>
      <c r="D7" s="3" t="s">
        <v>925</v>
      </c>
      <c r="E7" s="3">
        <v>17.149999999999999</v>
      </c>
      <c r="F7" s="3">
        <v>7.96</v>
      </c>
      <c r="G7" s="3">
        <v>22.77</v>
      </c>
      <c r="H7" s="3">
        <v>221</v>
      </c>
      <c r="I7" s="3">
        <v>5032</v>
      </c>
      <c r="J7" s="3">
        <v>250</v>
      </c>
      <c r="K7" s="3">
        <v>299</v>
      </c>
      <c r="L7" s="3">
        <v>1318</v>
      </c>
      <c r="M7" s="3">
        <v>14</v>
      </c>
      <c r="N7" s="3">
        <v>1</v>
      </c>
      <c r="O7" s="3">
        <v>4</v>
      </c>
      <c r="P7" s="3">
        <v>35</v>
      </c>
      <c r="Q7" s="9" t="s">
        <v>908</v>
      </c>
      <c r="R7" s="3">
        <v>18</v>
      </c>
    </row>
    <row r="8" spans="1:18" x14ac:dyDescent="0.3">
      <c r="A8" s="4" t="s">
        <v>594</v>
      </c>
      <c r="B8" s="3" t="s">
        <v>4</v>
      </c>
      <c r="C8" s="3" t="s">
        <v>71</v>
      </c>
      <c r="D8" s="3" t="s">
        <v>925</v>
      </c>
      <c r="E8" s="3">
        <v>22.68</v>
      </c>
      <c r="F8" s="3">
        <v>8.2200000000000006</v>
      </c>
      <c r="G8" s="3">
        <v>31.07</v>
      </c>
      <c r="H8" s="3">
        <v>72</v>
      </c>
      <c r="I8" s="3">
        <v>2237</v>
      </c>
      <c r="J8" s="3">
        <v>102</v>
      </c>
      <c r="K8" s="3">
        <v>166</v>
      </c>
      <c r="L8" s="3">
        <v>576</v>
      </c>
      <c r="M8" s="3">
        <v>4</v>
      </c>
      <c r="N8" s="3">
        <v>0</v>
      </c>
      <c r="O8" s="3">
        <v>1</v>
      </c>
      <c r="P8" s="3">
        <v>25</v>
      </c>
      <c r="Q8" s="9" t="s">
        <v>906</v>
      </c>
      <c r="R8" s="3">
        <v>7.2</v>
      </c>
    </row>
    <row r="9" spans="1:18" ht="18" customHeight="1" x14ac:dyDescent="0.3">
      <c r="A9" s="4" t="s">
        <v>664</v>
      </c>
      <c r="B9" s="3" t="s">
        <v>108</v>
      </c>
      <c r="C9" s="3" t="s">
        <v>71</v>
      </c>
      <c r="D9" s="3" t="s">
        <v>926</v>
      </c>
      <c r="E9" s="3">
        <v>21.32</v>
      </c>
      <c r="F9" s="3">
        <v>7.69</v>
      </c>
      <c r="G9" s="3">
        <v>27.33</v>
      </c>
      <c r="H9" s="3">
        <v>198</v>
      </c>
      <c r="I9" s="3">
        <v>5064</v>
      </c>
      <c r="J9" s="3">
        <v>158</v>
      </c>
      <c r="K9" s="3">
        <v>529</v>
      </c>
      <c r="L9" s="3">
        <v>1728</v>
      </c>
      <c r="M9" s="3">
        <v>4</v>
      </c>
      <c r="N9" s="3">
        <v>2</v>
      </c>
      <c r="O9" s="3">
        <v>12</v>
      </c>
      <c r="P9" s="3">
        <v>36</v>
      </c>
      <c r="Q9" s="9" t="s">
        <v>908</v>
      </c>
      <c r="R9" s="3">
        <v>10.75</v>
      </c>
    </row>
    <row r="10" spans="1:18" x14ac:dyDescent="0.3">
      <c r="A10" s="4" t="s">
        <v>663</v>
      </c>
      <c r="B10" s="3" t="s">
        <v>108</v>
      </c>
      <c r="C10" s="3" t="s">
        <v>71</v>
      </c>
      <c r="D10" s="3" t="s">
        <v>926</v>
      </c>
      <c r="E10" s="3">
        <v>21.76</v>
      </c>
      <c r="F10" s="3">
        <v>8.14</v>
      </c>
      <c r="G10" s="3">
        <v>29.51</v>
      </c>
      <c r="H10" s="3">
        <v>88</v>
      </c>
      <c r="I10" s="3">
        <v>2554</v>
      </c>
      <c r="J10" s="3">
        <v>75</v>
      </c>
      <c r="K10" s="3">
        <v>294</v>
      </c>
      <c r="L10" s="3">
        <v>827</v>
      </c>
      <c r="M10" s="3">
        <v>4</v>
      </c>
      <c r="N10" s="3">
        <v>0</v>
      </c>
      <c r="O10" s="3">
        <v>7</v>
      </c>
      <c r="P10" s="3">
        <v>33</v>
      </c>
      <c r="Q10" s="9" t="s">
        <v>908</v>
      </c>
      <c r="R10" s="3">
        <v>9.25</v>
      </c>
    </row>
    <row r="11" spans="1:18" x14ac:dyDescent="0.3">
      <c r="A11" s="4" t="s">
        <v>661</v>
      </c>
      <c r="B11" s="3" t="s">
        <v>4</v>
      </c>
      <c r="C11" s="3" t="s">
        <v>71</v>
      </c>
      <c r="D11" s="3" t="s">
        <v>924</v>
      </c>
      <c r="E11" s="3">
        <v>20.260000000000002</v>
      </c>
      <c r="F11" s="3">
        <v>8.77</v>
      </c>
      <c r="G11" s="3">
        <v>29.61</v>
      </c>
      <c r="H11" s="3">
        <v>74</v>
      </c>
      <c r="I11" s="3">
        <v>1102</v>
      </c>
      <c r="J11" s="3">
        <v>29</v>
      </c>
      <c r="K11" s="3">
        <v>121</v>
      </c>
      <c r="L11" s="3">
        <v>609</v>
      </c>
      <c r="M11" s="3">
        <v>6</v>
      </c>
      <c r="N11" s="3">
        <v>0</v>
      </c>
      <c r="O11" s="3">
        <v>8</v>
      </c>
      <c r="P11" s="3">
        <v>30</v>
      </c>
      <c r="Q11" s="9" t="s">
        <v>906</v>
      </c>
      <c r="R11" s="3">
        <v>9.5</v>
      </c>
    </row>
    <row r="12" spans="1:18" x14ac:dyDescent="0.3">
      <c r="A12" s="4" t="s">
        <v>662</v>
      </c>
      <c r="B12" s="3" t="s">
        <v>108</v>
      </c>
      <c r="C12" s="3" t="s">
        <v>71</v>
      </c>
      <c r="D12" s="3" t="s">
        <v>924</v>
      </c>
      <c r="E12" s="3">
        <v>17.670000000000002</v>
      </c>
      <c r="F12" s="3">
        <v>10.4</v>
      </c>
      <c r="G12" s="3">
        <v>30.61</v>
      </c>
      <c r="H12" s="3">
        <v>36</v>
      </c>
      <c r="I12" s="3">
        <v>1102</v>
      </c>
      <c r="J12" s="3">
        <v>53</v>
      </c>
      <c r="K12" s="3">
        <v>113</v>
      </c>
      <c r="L12" s="3">
        <v>219</v>
      </c>
      <c r="M12" s="3">
        <v>4</v>
      </c>
      <c r="N12" s="3">
        <v>0</v>
      </c>
      <c r="O12" s="3">
        <v>1</v>
      </c>
      <c r="P12" s="3">
        <v>32</v>
      </c>
      <c r="Q12" s="9" t="s">
        <v>908</v>
      </c>
      <c r="R12" s="3">
        <v>8</v>
      </c>
    </row>
    <row r="13" spans="1:18" x14ac:dyDescent="0.3">
      <c r="A13" s="4" t="s">
        <v>677</v>
      </c>
      <c r="B13" s="3" t="s">
        <v>4</v>
      </c>
      <c r="C13" s="3" t="s">
        <v>71</v>
      </c>
      <c r="D13" s="3" t="s">
        <v>925</v>
      </c>
      <c r="E13" s="3">
        <v>18.88</v>
      </c>
      <c r="F13" s="3">
        <v>7.58</v>
      </c>
      <c r="G13" s="3">
        <v>23.85</v>
      </c>
      <c r="H13" s="3">
        <v>100</v>
      </c>
      <c r="I13" s="3">
        <v>2346</v>
      </c>
      <c r="J13" s="3">
        <v>108</v>
      </c>
      <c r="K13" s="3">
        <v>160</v>
      </c>
      <c r="L13" s="3">
        <v>714</v>
      </c>
      <c r="M13" s="3">
        <v>8</v>
      </c>
      <c r="N13" s="3">
        <v>1</v>
      </c>
      <c r="O13" s="3">
        <v>1</v>
      </c>
      <c r="P13" s="3">
        <v>34</v>
      </c>
      <c r="Q13" s="9" t="s">
        <v>906</v>
      </c>
      <c r="R13" s="3">
        <v>12</v>
      </c>
    </row>
    <row r="14" spans="1:18" x14ac:dyDescent="0.3">
      <c r="A14" s="4" t="s">
        <v>665</v>
      </c>
      <c r="B14" s="3" t="s">
        <v>108</v>
      </c>
      <c r="C14" s="3" t="s">
        <v>71</v>
      </c>
      <c r="D14" s="3" t="s">
        <v>924</v>
      </c>
      <c r="E14" s="3">
        <v>17.48</v>
      </c>
      <c r="F14" s="3">
        <v>8.98</v>
      </c>
      <c r="G14" s="3">
        <v>26.16</v>
      </c>
      <c r="H14" s="3">
        <v>89</v>
      </c>
      <c r="I14" s="3">
        <v>2325</v>
      </c>
      <c r="J14" s="3">
        <v>105</v>
      </c>
      <c r="K14" s="3">
        <v>243</v>
      </c>
      <c r="L14" s="3">
        <v>676</v>
      </c>
      <c r="M14" s="3">
        <v>4</v>
      </c>
      <c r="N14" s="3">
        <v>0</v>
      </c>
      <c r="O14" s="3">
        <v>4</v>
      </c>
      <c r="P14" s="3">
        <v>28</v>
      </c>
      <c r="Q14" s="9" t="s">
        <v>908</v>
      </c>
      <c r="R14" s="3">
        <v>4.8</v>
      </c>
    </row>
    <row r="15" spans="1:18" x14ac:dyDescent="0.3">
      <c r="A15" s="4" t="s">
        <v>693</v>
      </c>
      <c r="B15" s="3" t="s">
        <v>108</v>
      </c>
      <c r="C15" s="3" t="s">
        <v>71</v>
      </c>
      <c r="D15" s="3" t="s">
        <v>926</v>
      </c>
      <c r="E15" s="3">
        <v>20.67</v>
      </c>
      <c r="F15" s="3">
        <v>8.8800000000000008</v>
      </c>
      <c r="G15" s="3">
        <v>30.58</v>
      </c>
      <c r="H15" s="3">
        <v>110</v>
      </c>
      <c r="I15" s="3">
        <v>2976</v>
      </c>
      <c r="J15" s="3">
        <v>135</v>
      </c>
      <c r="K15" s="3">
        <v>246</v>
      </c>
      <c r="L15" s="3">
        <v>665</v>
      </c>
      <c r="M15" s="3">
        <v>4</v>
      </c>
      <c r="N15" s="3">
        <v>2</v>
      </c>
      <c r="O15" s="3">
        <v>3</v>
      </c>
      <c r="P15" s="3">
        <v>34</v>
      </c>
      <c r="Q15" s="9" t="s">
        <v>908</v>
      </c>
      <c r="R15" s="3">
        <v>1</v>
      </c>
    </row>
    <row r="16" spans="1:18" x14ac:dyDescent="0.3">
      <c r="A16" s="4" t="s">
        <v>647</v>
      </c>
      <c r="B16" s="3" t="s">
        <v>108</v>
      </c>
      <c r="C16" s="3" t="s">
        <v>71</v>
      </c>
      <c r="D16" s="3" t="s">
        <v>924</v>
      </c>
      <c r="E16" s="3">
        <v>17</v>
      </c>
      <c r="F16" s="3">
        <v>9.4</v>
      </c>
      <c r="G16" s="3">
        <v>26.62</v>
      </c>
      <c r="H16" s="3">
        <v>29</v>
      </c>
      <c r="I16" s="3">
        <v>772</v>
      </c>
      <c r="J16" s="3">
        <v>29</v>
      </c>
      <c r="K16" s="3">
        <v>93</v>
      </c>
      <c r="L16" s="3">
        <v>217</v>
      </c>
      <c r="M16" s="3">
        <v>3</v>
      </c>
      <c r="N16" s="3">
        <v>1</v>
      </c>
      <c r="O16" s="3">
        <v>1</v>
      </c>
      <c r="P16" s="3">
        <v>26</v>
      </c>
      <c r="Q16" s="9" t="s">
        <v>908</v>
      </c>
      <c r="R16" s="3">
        <v>0.75</v>
      </c>
    </row>
    <row r="17" spans="1:18" x14ac:dyDescent="0.3">
      <c r="A17" s="4" t="s">
        <v>648</v>
      </c>
      <c r="B17" s="3" t="s">
        <v>108</v>
      </c>
      <c r="C17" s="3" t="s">
        <v>71</v>
      </c>
      <c r="D17" s="3" t="s">
        <v>924</v>
      </c>
      <c r="E17" s="3">
        <v>18.61</v>
      </c>
      <c r="F17" s="3">
        <v>9.1199999999999992</v>
      </c>
      <c r="G17" s="3">
        <v>28.29</v>
      </c>
      <c r="H17" s="3">
        <v>87</v>
      </c>
      <c r="I17" s="3">
        <v>2461</v>
      </c>
      <c r="J17" s="3">
        <v>100</v>
      </c>
      <c r="K17" s="3">
        <v>249</v>
      </c>
      <c r="L17" s="3">
        <v>591</v>
      </c>
      <c r="M17" s="3">
        <v>11</v>
      </c>
      <c r="N17" s="3">
        <v>0</v>
      </c>
      <c r="O17" s="3">
        <v>1</v>
      </c>
      <c r="P17" s="3">
        <v>29</v>
      </c>
      <c r="Q17" s="9" t="s">
        <v>908</v>
      </c>
      <c r="R17" s="3">
        <v>9.75</v>
      </c>
    </row>
    <row r="18" spans="1:18" x14ac:dyDescent="0.3">
      <c r="A18" s="4" t="s">
        <v>922</v>
      </c>
      <c r="B18" s="3" t="s">
        <v>108</v>
      </c>
      <c r="C18" s="3" t="s">
        <v>71</v>
      </c>
      <c r="D18" s="3" t="s">
        <v>925</v>
      </c>
      <c r="E18" s="3">
        <v>31</v>
      </c>
      <c r="F18" s="3">
        <v>8.75</v>
      </c>
      <c r="G18" s="3">
        <v>45.22</v>
      </c>
      <c r="H18" s="3">
        <v>18</v>
      </c>
      <c r="I18" s="3">
        <v>351</v>
      </c>
      <c r="J18" s="3">
        <v>17</v>
      </c>
      <c r="K18" s="3">
        <v>26</v>
      </c>
      <c r="L18" s="3">
        <v>121</v>
      </c>
      <c r="M18" s="3">
        <v>2</v>
      </c>
      <c r="N18" s="3">
        <v>0</v>
      </c>
      <c r="O18" s="3">
        <v>0</v>
      </c>
      <c r="P18" s="3">
        <v>22</v>
      </c>
      <c r="Q18" s="9" t="s">
        <v>908</v>
      </c>
      <c r="R18" s="3">
        <v>2.6</v>
      </c>
    </row>
    <row r="19" spans="1:18" x14ac:dyDescent="0.3">
      <c r="A19" s="4" t="s">
        <v>923</v>
      </c>
      <c r="B19" s="3" t="s">
        <v>108</v>
      </c>
      <c r="C19" s="3" t="s">
        <v>71</v>
      </c>
      <c r="D19" s="3" t="s">
        <v>924</v>
      </c>
      <c r="E19" s="3">
        <v>13.44</v>
      </c>
      <c r="F19" s="3">
        <v>9.17</v>
      </c>
      <c r="G19" s="3">
        <v>20.56</v>
      </c>
      <c r="H19" s="3">
        <v>9</v>
      </c>
      <c r="I19" s="3">
        <v>185</v>
      </c>
      <c r="J19" s="3">
        <v>12</v>
      </c>
      <c r="K19" s="3">
        <v>17</v>
      </c>
      <c r="L19" s="3">
        <v>60</v>
      </c>
      <c r="M19" s="3">
        <v>2</v>
      </c>
      <c r="N19" s="3">
        <v>0</v>
      </c>
      <c r="O19" s="3">
        <v>0</v>
      </c>
      <c r="P19" s="3">
        <v>23</v>
      </c>
      <c r="Q19" s="9" t="s">
        <v>908</v>
      </c>
      <c r="R19" s="3">
        <v>11</v>
      </c>
    </row>
    <row r="20" spans="1:18" x14ac:dyDescent="0.3">
      <c r="A20" s="4" t="s">
        <v>673</v>
      </c>
      <c r="B20" s="3" t="s">
        <v>108</v>
      </c>
      <c r="C20" s="3" t="s">
        <v>71</v>
      </c>
      <c r="D20" s="3" t="s">
        <v>924</v>
      </c>
      <c r="E20" s="3">
        <v>17.21</v>
      </c>
      <c r="F20" s="3">
        <v>9.6300000000000008</v>
      </c>
      <c r="G20" s="3">
        <v>27.64</v>
      </c>
      <c r="H20" s="3">
        <v>14</v>
      </c>
      <c r="I20" s="3">
        <v>387</v>
      </c>
      <c r="J20" s="3">
        <v>16</v>
      </c>
      <c r="K20" s="3">
        <v>41</v>
      </c>
      <c r="L20" s="3">
        <v>89</v>
      </c>
      <c r="M20" s="3">
        <v>2</v>
      </c>
      <c r="N20" s="3">
        <v>0</v>
      </c>
      <c r="O20" s="3">
        <v>0</v>
      </c>
      <c r="P20" s="3">
        <v>29</v>
      </c>
      <c r="Q20" s="9" t="s">
        <v>908</v>
      </c>
      <c r="R20" s="3">
        <v>0.75</v>
      </c>
    </row>
    <row r="21" spans="1:18" x14ac:dyDescent="0.3">
      <c r="A21" s="4" t="s">
        <v>670</v>
      </c>
      <c r="B21" s="3" t="s">
        <v>108</v>
      </c>
      <c r="C21" s="3" t="s">
        <v>71</v>
      </c>
      <c r="D21" s="3" t="s">
        <v>926</v>
      </c>
      <c r="E21" s="3">
        <v>5.6</v>
      </c>
      <c r="F21" s="3">
        <v>10.4</v>
      </c>
      <c r="G21" s="3">
        <v>30.8</v>
      </c>
      <c r="H21" s="3">
        <v>25</v>
      </c>
      <c r="I21" s="3">
        <v>770</v>
      </c>
      <c r="J21" s="3">
        <v>43</v>
      </c>
      <c r="K21" s="3">
        <v>64</v>
      </c>
      <c r="L21" s="3">
        <v>149</v>
      </c>
      <c r="M21" s="3">
        <v>2</v>
      </c>
      <c r="N21" s="3">
        <v>1</v>
      </c>
      <c r="O21" s="3">
        <v>1</v>
      </c>
      <c r="P21" s="3">
        <v>27</v>
      </c>
      <c r="Q21" s="9" t="s">
        <v>908</v>
      </c>
      <c r="R21" s="3">
        <v>1.6</v>
      </c>
    </row>
    <row r="22" spans="1:18" x14ac:dyDescent="0.3">
      <c r="A22" s="4" t="s">
        <v>596</v>
      </c>
      <c r="B22" s="3" t="s">
        <v>108</v>
      </c>
      <c r="C22" s="3" t="s">
        <v>71</v>
      </c>
      <c r="D22" s="3" t="s">
        <v>924</v>
      </c>
      <c r="E22" s="3">
        <v>18</v>
      </c>
      <c r="F22" s="3">
        <v>8.51</v>
      </c>
      <c r="G22" s="3">
        <v>25.52</v>
      </c>
      <c r="H22" s="3">
        <v>27</v>
      </c>
      <c r="I22" s="3">
        <v>429</v>
      </c>
      <c r="J22" s="3">
        <v>20</v>
      </c>
      <c r="K22" s="3">
        <v>32</v>
      </c>
      <c r="L22" s="3">
        <v>153</v>
      </c>
      <c r="M22" s="3">
        <v>3</v>
      </c>
      <c r="N22" s="3">
        <v>0</v>
      </c>
      <c r="O22" s="3">
        <v>1</v>
      </c>
      <c r="P22" s="3">
        <v>27</v>
      </c>
      <c r="Q22" s="9" t="s">
        <v>908</v>
      </c>
      <c r="R22" s="3">
        <v>4</v>
      </c>
    </row>
    <row r="23" spans="1:18" x14ac:dyDescent="0.3">
      <c r="A23" s="4" t="s">
        <v>668</v>
      </c>
      <c r="B23" s="3" t="s">
        <v>108</v>
      </c>
      <c r="C23" s="3" t="s">
        <v>71</v>
      </c>
      <c r="D23" s="3" t="s">
        <v>926</v>
      </c>
      <c r="E23" s="3">
        <v>18.920000000000002</v>
      </c>
      <c r="F23" s="3">
        <v>9.84</v>
      </c>
      <c r="G23" s="3">
        <v>31.04</v>
      </c>
      <c r="H23" s="3">
        <v>51</v>
      </c>
      <c r="I23" s="3">
        <v>1582</v>
      </c>
      <c r="J23" s="3">
        <v>69</v>
      </c>
      <c r="K23" s="3">
        <v>158</v>
      </c>
      <c r="L23" s="3">
        <v>356</v>
      </c>
      <c r="M23" s="3">
        <v>5</v>
      </c>
      <c r="N23" s="3">
        <v>0</v>
      </c>
      <c r="O23" s="3">
        <v>0</v>
      </c>
      <c r="P23" s="3">
        <v>30</v>
      </c>
      <c r="Q23" s="9" t="s">
        <v>908</v>
      </c>
      <c r="R23" s="3">
        <v>6.5</v>
      </c>
    </row>
    <row r="24" spans="1:18" x14ac:dyDescent="0.3">
      <c r="A24" s="4" t="s">
        <v>667</v>
      </c>
      <c r="B24" s="3" t="s">
        <v>108</v>
      </c>
      <c r="C24" s="3" t="s">
        <v>71</v>
      </c>
      <c r="D24" s="3" t="s">
        <v>926</v>
      </c>
      <c r="E24" s="3">
        <v>16.05</v>
      </c>
      <c r="F24" s="3">
        <v>8.86</v>
      </c>
      <c r="G24" s="3">
        <v>23.7</v>
      </c>
      <c r="H24" s="3">
        <v>151</v>
      </c>
      <c r="I24" s="3">
        <v>3203</v>
      </c>
      <c r="J24" s="3">
        <v>130</v>
      </c>
      <c r="K24" s="3">
        <v>271</v>
      </c>
      <c r="L24" s="3">
        <v>745</v>
      </c>
      <c r="M24" s="3">
        <v>14</v>
      </c>
      <c r="N24" s="3">
        <v>1</v>
      </c>
      <c r="O24" s="3">
        <v>2</v>
      </c>
      <c r="P24" s="3">
        <v>35</v>
      </c>
      <c r="Q24" s="9" t="s">
        <v>908</v>
      </c>
      <c r="R24" s="3">
        <v>8</v>
      </c>
    </row>
    <row r="25" spans="1:18" x14ac:dyDescent="0.3">
      <c r="A25" s="4" t="s">
        <v>680</v>
      </c>
      <c r="B25" s="3" t="s">
        <v>108</v>
      </c>
      <c r="C25" s="3" t="s">
        <v>71</v>
      </c>
      <c r="D25" s="3" t="s">
        <v>925</v>
      </c>
      <c r="E25" s="3">
        <v>13.78</v>
      </c>
      <c r="F25" s="3">
        <v>8.86</v>
      </c>
      <c r="G25" s="3">
        <v>20.34</v>
      </c>
      <c r="H25" s="3">
        <v>32</v>
      </c>
      <c r="I25" s="3">
        <v>651</v>
      </c>
      <c r="J25" s="3">
        <v>40</v>
      </c>
      <c r="K25" s="3">
        <v>34</v>
      </c>
      <c r="L25" s="3">
        <v>134</v>
      </c>
      <c r="M25" s="3">
        <v>2</v>
      </c>
      <c r="N25" s="3">
        <v>0</v>
      </c>
      <c r="O25" s="3">
        <v>0</v>
      </c>
      <c r="P25" s="3">
        <v>29</v>
      </c>
      <c r="Q25" s="9" t="s">
        <v>908</v>
      </c>
      <c r="R25" s="3">
        <v>2</v>
      </c>
    </row>
    <row r="26" spans="1:18" x14ac:dyDescent="0.3">
      <c r="A26" s="4" t="s">
        <v>105</v>
      </c>
      <c r="B26" s="3" t="s">
        <v>108</v>
      </c>
      <c r="C26" s="3" t="s">
        <v>71</v>
      </c>
      <c r="D26" s="3" t="s">
        <v>925</v>
      </c>
      <c r="E26" s="3">
        <v>22.27</v>
      </c>
      <c r="F26" s="3">
        <v>7.72</v>
      </c>
      <c r="G26" s="3">
        <v>28.67</v>
      </c>
      <c r="H26" s="3">
        <v>75</v>
      </c>
      <c r="I26" s="3">
        <v>2150</v>
      </c>
      <c r="J26" s="3">
        <v>98</v>
      </c>
      <c r="K26" s="3">
        <v>139</v>
      </c>
      <c r="L26" s="3">
        <v>592</v>
      </c>
      <c r="M26" s="3">
        <v>4</v>
      </c>
      <c r="N26" s="3">
        <v>0</v>
      </c>
      <c r="O26" s="3">
        <v>1</v>
      </c>
      <c r="P26" s="3">
        <v>26</v>
      </c>
      <c r="Q26" s="9" t="s">
        <v>908</v>
      </c>
      <c r="R26" s="3">
        <v>5.2</v>
      </c>
    </row>
    <row r="27" spans="1:18" x14ac:dyDescent="0.3">
      <c r="A27" s="4" t="s">
        <v>595</v>
      </c>
      <c r="B27" s="3" t="s">
        <v>108</v>
      </c>
      <c r="C27" s="3" t="s">
        <v>71</v>
      </c>
      <c r="D27" s="3" t="s">
        <v>924</v>
      </c>
      <c r="E27" s="3">
        <v>21.24</v>
      </c>
      <c r="F27" s="3">
        <v>9.58</v>
      </c>
      <c r="G27" s="3">
        <v>33.9</v>
      </c>
      <c r="H27" s="3">
        <v>41</v>
      </c>
      <c r="I27" s="3">
        <v>1390</v>
      </c>
      <c r="J27" s="3">
        <v>58</v>
      </c>
      <c r="K27" s="3">
        <v>138</v>
      </c>
      <c r="L27" s="3">
        <v>319</v>
      </c>
      <c r="M27" s="3">
        <v>2</v>
      </c>
      <c r="N27" s="3">
        <v>0</v>
      </c>
      <c r="O27" s="3">
        <v>0</v>
      </c>
      <c r="P27" s="3">
        <v>28</v>
      </c>
      <c r="Q27" s="9" t="s">
        <v>908</v>
      </c>
      <c r="R27" s="3">
        <v>5</v>
      </c>
    </row>
    <row r="28" spans="1:18" x14ac:dyDescent="0.3">
      <c r="A28" s="4" t="s">
        <v>927</v>
      </c>
      <c r="B28" s="3" t="s">
        <v>4</v>
      </c>
      <c r="C28" s="3" t="s">
        <v>71</v>
      </c>
      <c r="D28" s="3" t="s">
        <v>924</v>
      </c>
      <c r="E28" s="3">
        <v>27.8</v>
      </c>
      <c r="F28" s="3">
        <v>11.83</v>
      </c>
      <c r="G28" s="3">
        <v>54.8</v>
      </c>
      <c r="H28" s="3">
        <v>10</v>
      </c>
      <c r="I28" s="3">
        <v>548</v>
      </c>
      <c r="J28" s="3">
        <v>33</v>
      </c>
      <c r="K28" s="3">
        <v>48</v>
      </c>
      <c r="L28" s="3">
        <v>92</v>
      </c>
      <c r="M28" s="3">
        <v>1</v>
      </c>
      <c r="N28" s="3">
        <v>0</v>
      </c>
      <c r="O28" s="3">
        <v>1</v>
      </c>
      <c r="P28" s="3">
        <v>29</v>
      </c>
      <c r="Q28" s="9" t="s">
        <v>906</v>
      </c>
      <c r="R28" s="3">
        <v>1</v>
      </c>
    </row>
    <row r="29" spans="1:18" x14ac:dyDescent="0.3">
      <c r="A29" s="4" t="s">
        <v>672</v>
      </c>
      <c r="B29" s="3" t="s">
        <v>108</v>
      </c>
      <c r="C29" s="3" t="s">
        <v>71</v>
      </c>
      <c r="D29" s="3" t="s">
        <v>924</v>
      </c>
      <c r="E29" s="3">
        <v>15.3</v>
      </c>
      <c r="F29" s="3">
        <v>10.06</v>
      </c>
      <c r="G29" s="3">
        <v>25.65</v>
      </c>
      <c r="H29" s="3">
        <v>23</v>
      </c>
      <c r="I29" s="3">
        <v>590</v>
      </c>
      <c r="J29" s="3">
        <v>25</v>
      </c>
      <c r="K29" s="3">
        <v>55</v>
      </c>
      <c r="L29" s="3">
        <v>112</v>
      </c>
      <c r="M29" s="3">
        <v>4</v>
      </c>
      <c r="N29" s="3">
        <v>1</v>
      </c>
      <c r="O29" s="3">
        <v>0</v>
      </c>
      <c r="P29" s="3">
        <v>32</v>
      </c>
      <c r="Q29" s="9" t="s">
        <v>908</v>
      </c>
      <c r="R29" s="3">
        <v>1.2</v>
      </c>
    </row>
    <row r="30" spans="1:18" x14ac:dyDescent="0.3">
      <c r="A30" s="4" t="s">
        <v>940</v>
      </c>
      <c r="B30" s="3" t="s">
        <v>108</v>
      </c>
      <c r="C30" s="3" t="s">
        <v>71</v>
      </c>
      <c r="D30" s="3" t="s">
        <v>925</v>
      </c>
      <c r="E30" s="3">
        <v>8.3000000000000007</v>
      </c>
      <c r="F30" s="3">
        <v>9.1</v>
      </c>
      <c r="G30" s="3">
        <v>18.170000000000002</v>
      </c>
      <c r="H30" s="3">
        <v>6</v>
      </c>
      <c r="I30" s="3">
        <v>109</v>
      </c>
      <c r="J30" s="3">
        <v>9</v>
      </c>
      <c r="K30" s="3">
        <v>4</v>
      </c>
      <c r="L30" s="3">
        <v>24</v>
      </c>
      <c r="M30" s="3">
        <v>1</v>
      </c>
      <c r="N30" s="3">
        <v>0</v>
      </c>
      <c r="O30" s="3">
        <v>0</v>
      </c>
      <c r="P30" s="3">
        <v>26</v>
      </c>
      <c r="Q30" s="9" t="s">
        <v>908</v>
      </c>
      <c r="R30" s="3">
        <v>0.3</v>
      </c>
    </row>
    <row r="31" spans="1:18" x14ac:dyDescent="0.3">
      <c r="A31" s="4" t="s">
        <v>606</v>
      </c>
      <c r="B31" s="3" t="s">
        <v>4</v>
      </c>
      <c r="C31" s="3" t="s">
        <v>300</v>
      </c>
      <c r="D31" s="3" t="s">
        <v>924</v>
      </c>
      <c r="E31" s="3">
        <v>6.6</v>
      </c>
      <c r="F31" s="3">
        <v>8.3000000000000007</v>
      </c>
      <c r="G31" s="29">
        <f>I31/H31</f>
        <v>20.982456140350877</v>
      </c>
      <c r="H31" s="3">
        <v>57</v>
      </c>
      <c r="I31" s="3">
        <v>1196</v>
      </c>
      <c r="J31" s="3">
        <v>56</v>
      </c>
      <c r="K31" s="3">
        <v>122</v>
      </c>
      <c r="L31" s="3">
        <v>390</v>
      </c>
      <c r="M31" s="3">
        <v>8</v>
      </c>
      <c r="N31" s="3">
        <v>0</v>
      </c>
      <c r="O31" s="3">
        <v>1</v>
      </c>
      <c r="P31" s="3">
        <v>35</v>
      </c>
      <c r="Q31" s="9" t="s">
        <v>906</v>
      </c>
      <c r="R31" s="3">
        <v>12.5</v>
      </c>
    </row>
    <row r="32" spans="1:18" x14ac:dyDescent="0.3">
      <c r="A32" s="4" t="s">
        <v>604</v>
      </c>
      <c r="B32" s="3" t="s">
        <v>4</v>
      </c>
      <c r="C32" s="3" t="s">
        <v>300</v>
      </c>
      <c r="D32" s="3" t="s">
        <v>924</v>
      </c>
      <c r="E32" s="3">
        <v>4.8</v>
      </c>
      <c r="F32" s="3">
        <v>8.9</v>
      </c>
      <c r="G32" s="29">
        <f t="shared" ref="G32:G63" si="0">I32/H32</f>
        <v>30.973684210526315</v>
      </c>
      <c r="H32" s="3">
        <v>76</v>
      </c>
      <c r="I32" s="3">
        <v>2354</v>
      </c>
      <c r="J32" s="3">
        <v>100</v>
      </c>
      <c r="K32" s="3">
        <v>223</v>
      </c>
      <c r="L32" s="3">
        <v>601</v>
      </c>
      <c r="M32" s="3">
        <v>7</v>
      </c>
      <c r="N32" s="3">
        <v>0</v>
      </c>
      <c r="O32" s="3">
        <v>2</v>
      </c>
      <c r="P32" s="3">
        <v>32</v>
      </c>
      <c r="Q32" s="9" t="s">
        <v>906</v>
      </c>
      <c r="R32" s="3">
        <v>18</v>
      </c>
    </row>
    <row r="33" spans="1:18" x14ac:dyDescent="0.3">
      <c r="A33" s="4" t="s">
        <v>605</v>
      </c>
      <c r="B33" s="3" t="s">
        <v>4</v>
      </c>
      <c r="C33" s="3" t="s">
        <v>300</v>
      </c>
      <c r="D33" s="3" t="s">
        <v>924</v>
      </c>
      <c r="E33" s="3">
        <v>6.2</v>
      </c>
      <c r="F33" s="3">
        <v>8.6</v>
      </c>
      <c r="G33" s="29">
        <f t="shared" si="0"/>
        <v>23.276923076923076</v>
      </c>
      <c r="H33" s="3">
        <v>65</v>
      </c>
      <c r="I33" s="3">
        <v>1513</v>
      </c>
      <c r="J33" s="3">
        <v>45</v>
      </c>
      <c r="K33" s="3">
        <v>169</v>
      </c>
      <c r="L33" s="3">
        <v>448</v>
      </c>
      <c r="M33" s="3">
        <v>9</v>
      </c>
      <c r="N33" s="3">
        <v>1</v>
      </c>
      <c r="O33" s="3">
        <v>1</v>
      </c>
      <c r="P33" s="3">
        <v>36</v>
      </c>
      <c r="Q33" s="9" t="s">
        <v>906</v>
      </c>
      <c r="R33" s="3">
        <v>11.75</v>
      </c>
    </row>
    <row r="34" spans="1:18" x14ac:dyDescent="0.3">
      <c r="A34" s="4" t="s">
        <v>607</v>
      </c>
      <c r="B34" s="3" t="s">
        <v>4</v>
      </c>
      <c r="C34" s="3" t="s">
        <v>300</v>
      </c>
      <c r="D34" s="3" t="s">
        <v>925</v>
      </c>
      <c r="E34" s="3">
        <v>6.6</v>
      </c>
      <c r="F34" s="3">
        <v>8.4</v>
      </c>
      <c r="G34" s="29">
        <f t="shared" si="0"/>
        <v>21.032258064516128</v>
      </c>
      <c r="H34" s="3">
        <v>31</v>
      </c>
      <c r="I34" s="3">
        <v>652</v>
      </c>
      <c r="J34" s="3">
        <v>35</v>
      </c>
      <c r="K34" s="3">
        <v>36</v>
      </c>
      <c r="L34" s="3">
        <v>143</v>
      </c>
      <c r="M34" s="3">
        <v>2</v>
      </c>
      <c r="N34" s="3">
        <v>1</v>
      </c>
      <c r="O34" s="3">
        <v>0</v>
      </c>
      <c r="P34" s="3">
        <v>33</v>
      </c>
      <c r="Q34" s="9" t="s">
        <v>906</v>
      </c>
      <c r="R34" s="3">
        <v>2.4</v>
      </c>
    </row>
    <row r="35" spans="1:18" x14ac:dyDescent="0.3">
      <c r="A35" s="4" t="s">
        <v>749</v>
      </c>
      <c r="B35" s="3" t="s">
        <v>4</v>
      </c>
      <c r="C35" s="3" t="s">
        <v>300</v>
      </c>
      <c r="D35" s="3" t="s">
        <v>926</v>
      </c>
      <c r="E35" s="3">
        <v>5</v>
      </c>
      <c r="F35" s="3">
        <v>8.6999999999999993</v>
      </c>
      <c r="G35" s="29">
        <f t="shared" si="0"/>
        <v>28.736842105263158</v>
      </c>
      <c r="H35" s="3">
        <v>19</v>
      </c>
      <c r="I35" s="3">
        <v>546</v>
      </c>
      <c r="J35" s="3">
        <v>21</v>
      </c>
      <c r="K35" s="3">
        <v>46</v>
      </c>
      <c r="L35" s="3">
        <v>124</v>
      </c>
      <c r="M35" s="3">
        <v>2</v>
      </c>
      <c r="N35" s="3">
        <v>0</v>
      </c>
      <c r="O35" s="3">
        <v>0</v>
      </c>
      <c r="P35" s="3">
        <v>31</v>
      </c>
      <c r="Q35" s="9" t="s">
        <v>906</v>
      </c>
      <c r="R35" s="3">
        <v>2</v>
      </c>
    </row>
    <row r="36" spans="1:18" x14ac:dyDescent="0.3">
      <c r="A36" s="4" t="s">
        <v>241</v>
      </c>
      <c r="B36" s="3" t="s">
        <v>4</v>
      </c>
      <c r="C36" s="3" t="s">
        <v>300</v>
      </c>
      <c r="D36" s="3" t="s">
        <v>924</v>
      </c>
      <c r="E36" s="3">
        <v>7</v>
      </c>
      <c r="F36" s="3">
        <v>8.4</v>
      </c>
      <c r="G36" s="29">
        <f t="shared" si="0"/>
        <v>19.935643564356436</v>
      </c>
      <c r="H36" s="3">
        <v>202</v>
      </c>
      <c r="I36" s="3">
        <v>4027</v>
      </c>
      <c r="J36" s="3">
        <v>158</v>
      </c>
      <c r="K36" s="3">
        <v>356</v>
      </c>
      <c r="L36" s="3">
        <v>1101</v>
      </c>
      <c r="M36" s="3">
        <v>28</v>
      </c>
      <c r="N36" s="3">
        <v>2</v>
      </c>
      <c r="O36" s="3">
        <v>3</v>
      </c>
      <c r="P36" s="3">
        <v>32</v>
      </c>
      <c r="Q36" s="9" t="s">
        <v>906</v>
      </c>
      <c r="R36" s="3">
        <v>0</v>
      </c>
    </row>
    <row r="37" spans="1:18" x14ac:dyDescent="0.3">
      <c r="A37" s="4" t="s">
        <v>763</v>
      </c>
      <c r="B37" s="3" t="s">
        <v>4</v>
      </c>
      <c r="C37" s="3" t="s">
        <v>300</v>
      </c>
      <c r="D37" s="3" t="s">
        <v>926</v>
      </c>
      <c r="E37" s="3">
        <v>6</v>
      </c>
      <c r="F37" s="3">
        <v>8.1999999999999993</v>
      </c>
      <c r="G37" s="29">
        <f t="shared" si="0"/>
        <v>23.081339712918659</v>
      </c>
      <c r="H37" s="3">
        <v>209</v>
      </c>
      <c r="I37" s="3">
        <v>4824</v>
      </c>
      <c r="J37" s="3">
        <v>184</v>
      </c>
      <c r="K37" s="3">
        <v>451</v>
      </c>
      <c r="L37" s="3">
        <v>1467</v>
      </c>
      <c r="M37" s="3">
        <v>20</v>
      </c>
      <c r="N37" s="3">
        <v>2</v>
      </c>
      <c r="O37" s="3">
        <v>5</v>
      </c>
      <c r="P37" s="3">
        <v>31</v>
      </c>
      <c r="Q37" s="9" t="s">
        <v>906</v>
      </c>
      <c r="R37" s="3">
        <v>4.4000000000000004</v>
      </c>
    </row>
    <row r="38" spans="1:18" x14ac:dyDescent="0.3">
      <c r="A38" s="4" t="s">
        <v>748</v>
      </c>
      <c r="B38" s="3" t="s">
        <v>4</v>
      </c>
      <c r="C38" s="3" t="s">
        <v>300</v>
      </c>
      <c r="D38" s="3" t="s">
        <v>926</v>
      </c>
      <c r="E38" s="3">
        <v>6.4</v>
      </c>
      <c r="F38" s="3">
        <v>8.6999999999999993</v>
      </c>
      <c r="G38" s="29">
        <f t="shared" si="0"/>
        <v>22.803921568627452</v>
      </c>
      <c r="H38" s="3">
        <v>102</v>
      </c>
      <c r="I38" s="3">
        <v>2326</v>
      </c>
      <c r="J38" s="3">
        <v>89</v>
      </c>
      <c r="K38" s="3">
        <v>221</v>
      </c>
      <c r="L38" s="3">
        <v>631</v>
      </c>
      <c r="M38" s="3">
        <v>13</v>
      </c>
      <c r="N38" s="3">
        <v>0</v>
      </c>
      <c r="O38" s="3">
        <v>2</v>
      </c>
      <c r="P38" s="3">
        <v>28</v>
      </c>
      <c r="Q38" s="9" t="s">
        <v>906</v>
      </c>
      <c r="R38" s="3">
        <v>0.8</v>
      </c>
    </row>
    <row r="39" spans="1:18" x14ac:dyDescent="0.3">
      <c r="A39" s="4" t="s">
        <v>609</v>
      </c>
      <c r="B39" s="3" t="s">
        <v>4</v>
      </c>
      <c r="C39" s="3" t="s">
        <v>300</v>
      </c>
      <c r="D39" s="3" t="s">
        <v>924</v>
      </c>
      <c r="E39" s="3">
        <v>6</v>
      </c>
      <c r="F39" s="3">
        <v>7.3</v>
      </c>
      <c r="G39" s="29">
        <f t="shared" si="0"/>
        <v>20.338235294117649</v>
      </c>
      <c r="H39" s="3">
        <v>68</v>
      </c>
      <c r="I39" s="3">
        <v>1383</v>
      </c>
      <c r="J39" s="3">
        <v>35</v>
      </c>
      <c r="K39" s="3">
        <v>158</v>
      </c>
      <c r="L39" s="3">
        <v>563</v>
      </c>
      <c r="M39" s="3">
        <v>8</v>
      </c>
      <c r="N39" s="3">
        <v>0</v>
      </c>
      <c r="O39" s="3">
        <v>5</v>
      </c>
      <c r="P39" s="3">
        <v>31</v>
      </c>
      <c r="Q39" s="9" t="s">
        <v>906</v>
      </c>
      <c r="R39" s="3">
        <v>0</v>
      </c>
    </row>
    <row r="40" spans="1:18" x14ac:dyDescent="0.3">
      <c r="A40" s="4" t="s">
        <v>952</v>
      </c>
      <c r="B40" s="3" t="s">
        <v>4</v>
      </c>
      <c r="C40" s="3" t="s">
        <v>300</v>
      </c>
      <c r="D40" s="3" t="s">
        <v>925</v>
      </c>
      <c r="E40" s="3">
        <v>5.8</v>
      </c>
      <c r="F40" s="3">
        <v>8.6</v>
      </c>
      <c r="G40" s="29">
        <f t="shared" si="0"/>
        <v>24.472972972972972</v>
      </c>
      <c r="H40" s="3">
        <v>74</v>
      </c>
      <c r="I40" s="3">
        <v>1811</v>
      </c>
      <c r="J40" s="3">
        <v>95</v>
      </c>
      <c r="K40" s="3">
        <v>97</v>
      </c>
      <c r="L40" s="3">
        <v>392</v>
      </c>
      <c r="M40" s="3">
        <v>5</v>
      </c>
      <c r="N40" s="3">
        <v>0</v>
      </c>
      <c r="O40" s="3">
        <v>0</v>
      </c>
      <c r="P40" s="3">
        <v>26</v>
      </c>
      <c r="Q40" s="9" t="s">
        <v>908</v>
      </c>
      <c r="R40" s="3">
        <v>0</v>
      </c>
    </row>
    <row r="41" spans="1:18" x14ac:dyDescent="0.3">
      <c r="A41" s="4" t="s">
        <v>608</v>
      </c>
      <c r="B41" s="3" t="s">
        <v>4</v>
      </c>
      <c r="C41" s="3" t="s">
        <v>300</v>
      </c>
      <c r="D41" s="3" t="s">
        <v>924</v>
      </c>
      <c r="E41" s="3">
        <v>6</v>
      </c>
      <c r="F41" s="3">
        <v>8.3000000000000007</v>
      </c>
      <c r="G41" s="29">
        <f t="shared" si="0"/>
        <v>22.95</v>
      </c>
      <c r="H41" s="3">
        <v>40</v>
      </c>
      <c r="I41" s="3">
        <v>918</v>
      </c>
      <c r="J41" s="3">
        <v>31</v>
      </c>
      <c r="K41" s="3">
        <v>89</v>
      </c>
      <c r="L41" s="3">
        <v>280</v>
      </c>
      <c r="M41" s="3">
        <v>4</v>
      </c>
      <c r="N41" s="3">
        <v>1</v>
      </c>
      <c r="O41" s="3">
        <v>0</v>
      </c>
      <c r="P41" s="3">
        <v>27</v>
      </c>
      <c r="Q41" s="9" t="s">
        <v>908</v>
      </c>
      <c r="R41" s="3">
        <v>0</v>
      </c>
    </row>
    <row r="42" spans="1:18" x14ac:dyDescent="0.3">
      <c r="A42" s="4" t="s">
        <v>747</v>
      </c>
      <c r="B42" s="3" t="s">
        <v>4</v>
      </c>
      <c r="C42" s="3" t="s">
        <v>300</v>
      </c>
      <c r="D42" s="3" t="s">
        <v>924</v>
      </c>
      <c r="E42" s="3">
        <v>4.9000000000000004</v>
      </c>
      <c r="F42" s="3">
        <v>9.5</v>
      </c>
      <c r="G42" s="29">
        <f t="shared" si="0"/>
        <v>32.210526315789473</v>
      </c>
      <c r="H42" s="3">
        <v>19</v>
      </c>
      <c r="I42" s="3">
        <v>612</v>
      </c>
      <c r="J42" s="3">
        <v>26</v>
      </c>
      <c r="K42" s="3">
        <v>63</v>
      </c>
      <c r="L42" s="3">
        <v>156</v>
      </c>
      <c r="M42" s="3">
        <v>0</v>
      </c>
      <c r="N42" s="3">
        <v>0</v>
      </c>
      <c r="O42" s="3">
        <v>0</v>
      </c>
      <c r="P42" s="3">
        <v>29</v>
      </c>
      <c r="Q42" s="9" t="s">
        <v>906</v>
      </c>
      <c r="R42" s="3">
        <v>1.2</v>
      </c>
    </row>
    <row r="43" spans="1:18" x14ac:dyDescent="0.3">
      <c r="A43" s="4" t="s">
        <v>599</v>
      </c>
      <c r="B43" s="3" t="s">
        <v>4</v>
      </c>
      <c r="C43" s="3" t="s">
        <v>208</v>
      </c>
      <c r="D43" s="3" t="s">
        <v>924</v>
      </c>
      <c r="E43" s="3">
        <v>4.8</v>
      </c>
      <c r="F43" s="3">
        <v>7.9</v>
      </c>
      <c r="G43" s="29">
        <f t="shared" si="0"/>
        <v>27.135593220338983</v>
      </c>
      <c r="H43" s="3">
        <v>59</v>
      </c>
      <c r="I43" s="3">
        <v>1601</v>
      </c>
      <c r="J43" s="3">
        <v>73</v>
      </c>
      <c r="K43" s="3">
        <v>138</v>
      </c>
      <c r="L43" s="3">
        <v>553</v>
      </c>
      <c r="M43" s="3">
        <v>7</v>
      </c>
      <c r="N43" s="3">
        <v>0</v>
      </c>
      <c r="O43" s="3">
        <v>3</v>
      </c>
      <c r="P43" s="3">
        <v>30</v>
      </c>
      <c r="Q43" s="9" t="s">
        <v>906</v>
      </c>
      <c r="R43" s="3">
        <v>12.5</v>
      </c>
    </row>
    <row r="44" spans="1:18" x14ac:dyDescent="0.3">
      <c r="A44" s="4" t="s">
        <v>600</v>
      </c>
      <c r="B44" s="3" t="s">
        <v>4</v>
      </c>
      <c r="C44" s="3" t="s">
        <v>208</v>
      </c>
      <c r="D44" s="3" t="s">
        <v>925</v>
      </c>
      <c r="E44" s="3">
        <v>5.4</v>
      </c>
      <c r="F44" s="3">
        <v>7.4</v>
      </c>
      <c r="G44" s="29">
        <f t="shared" si="0"/>
        <v>22.584269662921347</v>
      </c>
      <c r="H44" s="3">
        <v>89</v>
      </c>
      <c r="I44" s="3">
        <v>2010</v>
      </c>
      <c r="J44" s="3">
        <v>64</v>
      </c>
      <c r="K44" s="3">
        <v>94</v>
      </c>
      <c r="L44" s="3">
        <v>441</v>
      </c>
      <c r="M44" s="3">
        <v>10</v>
      </c>
      <c r="N44" s="3">
        <v>0</v>
      </c>
      <c r="O44" s="3">
        <v>2</v>
      </c>
      <c r="P44" s="3">
        <v>38</v>
      </c>
      <c r="Q44" s="9" t="s">
        <v>906</v>
      </c>
      <c r="R44" s="3">
        <v>0</v>
      </c>
    </row>
    <row r="45" spans="1:18" x14ac:dyDescent="0.3">
      <c r="A45" s="4" t="s">
        <v>601</v>
      </c>
      <c r="B45" s="3" t="s">
        <v>4</v>
      </c>
      <c r="C45" s="3" t="s">
        <v>208</v>
      </c>
      <c r="D45" s="3" t="s">
        <v>925</v>
      </c>
      <c r="E45" s="3">
        <v>4.4000000000000004</v>
      </c>
      <c r="F45" s="3">
        <v>8.1</v>
      </c>
      <c r="G45" s="29">
        <f t="shared" si="0"/>
        <v>30.836363636363636</v>
      </c>
      <c r="H45" s="3">
        <v>55</v>
      </c>
      <c r="I45" s="3">
        <v>1696</v>
      </c>
      <c r="J45" s="3">
        <v>70</v>
      </c>
      <c r="K45" s="3">
        <v>113</v>
      </c>
      <c r="L45" s="3">
        <v>358</v>
      </c>
      <c r="M45" s="3">
        <v>6</v>
      </c>
      <c r="N45" s="3">
        <v>0</v>
      </c>
      <c r="O45" s="3">
        <v>0</v>
      </c>
      <c r="P45" s="3">
        <v>22</v>
      </c>
      <c r="Q45" s="9" t="s">
        <v>906</v>
      </c>
      <c r="R45" s="3">
        <v>0.75</v>
      </c>
    </row>
    <row r="46" spans="1:18" x14ac:dyDescent="0.3">
      <c r="A46" s="4" t="s">
        <v>796</v>
      </c>
      <c r="B46" s="3" t="s">
        <v>4</v>
      </c>
      <c r="C46" s="3" t="s">
        <v>208</v>
      </c>
      <c r="D46" s="3" t="s">
        <v>924</v>
      </c>
      <c r="E46" s="3">
        <v>5.0999999999999996</v>
      </c>
      <c r="F46" s="3">
        <v>8.3000000000000007</v>
      </c>
      <c r="G46" s="29">
        <f t="shared" si="0"/>
        <v>27.18</v>
      </c>
      <c r="H46" s="3">
        <v>50</v>
      </c>
      <c r="I46" s="3">
        <v>1359</v>
      </c>
      <c r="J46" s="3">
        <v>46</v>
      </c>
      <c r="K46" s="3">
        <v>103</v>
      </c>
      <c r="L46" s="3">
        <v>352</v>
      </c>
      <c r="M46" s="3">
        <v>2</v>
      </c>
      <c r="N46" s="3">
        <v>0</v>
      </c>
      <c r="O46" s="3">
        <v>2</v>
      </c>
      <c r="P46" s="3">
        <v>31</v>
      </c>
      <c r="Q46" s="9" t="s">
        <v>906</v>
      </c>
      <c r="R46" s="3">
        <v>4.2</v>
      </c>
    </row>
    <row r="47" spans="1:18" x14ac:dyDescent="0.3">
      <c r="A47" s="4" t="s">
        <v>800</v>
      </c>
      <c r="B47" s="3" t="s">
        <v>4</v>
      </c>
      <c r="C47" s="3" t="s">
        <v>208</v>
      </c>
      <c r="D47" s="3" t="s">
        <v>924</v>
      </c>
      <c r="E47" s="3">
        <v>12.8</v>
      </c>
      <c r="F47" s="3">
        <v>10.199999999999999</v>
      </c>
      <c r="G47" s="29">
        <f t="shared" si="0"/>
        <v>13.333333333333334</v>
      </c>
      <c r="H47" s="3">
        <v>21</v>
      </c>
      <c r="I47" s="3">
        <v>280</v>
      </c>
      <c r="J47" s="3">
        <v>9</v>
      </c>
      <c r="K47" s="3">
        <v>30</v>
      </c>
      <c r="L47" s="3">
        <v>82</v>
      </c>
      <c r="M47" s="3">
        <v>4</v>
      </c>
      <c r="N47" s="3">
        <v>0</v>
      </c>
      <c r="O47" s="3">
        <v>0</v>
      </c>
      <c r="P47" s="3">
        <v>28</v>
      </c>
      <c r="Q47" s="9" t="s">
        <v>906</v>
      </c>
      <c r="R47" s="3">
        <v>0</v>
      </c>
    </row>
    <row r="48" spans="1:18" x14ac:dyDescent="0.3">
      <c r="A48" s="4" t="s">
        <v>953</v>
      </c>
      <c r="B48" s="3" t="s">
        <v>4</v>
      </c>
      <c r="C48" s="3" t="s">
        <v>208</v>
      </c>
      <c r="D48" s="3" t="s">
        <v>924</v>
      </c>
      <c r="E48" s="3">
        <v>7.3</v>
      </c>
      <c r="F48" s="3">
        <v>8.6</v>
      </c>
      <c r="G48" s="29">
        <f t="shared" si="0"/>
        <v>19.480519480519479</v>
      </c>
      <c r="H48" s="3">
        <v>77</v>
      </c>
      <c r="I48" s="3">
        <v>1500</v>
      </c>
      <c r="J48" s="3">
        <v>47</v>
      </c>
      <c r="K48" s="3">
        <v>145</v>
      </c>
      <c r="L48" s="3">
        <v>357</v>
      </c>
      <c r="M48" s="3">
        <v>9</v>
      </c>
      <c r="N48" s="3">
        <v>0</v>
      </c>
      <c r="O48" s="3">
        <v>1</v>
      </c>
      <c r="P48" s="3">
        <v>24</v>
      </c>
      <c r="Q48" s="9" t="s">
        <v>906</v>
      </c>
      <c r="R48" s="3">
        <v>2.2999999999999998</v>
      </c>
    </row>
    <row r="49" spans="1:18" x14ac:dyDescent="0.3">
      <c r="A49" s="4" t="s">
        <v>797</v>
      </c>
      <c r="B49" s="3" t="s">
        <v>4</v>
      </c>
      <c r="C49" s="3" t="s">
        <v>208</v>
      </c>
      <c r="D49" s="3" t="s">
        <v>924</v>
      </c>
      <c r="E49" s="3">
        <v>6.1</v>
      </c>
      <c r="F49" s="3">
        <v>8.4</v>
      </c>
      <c r="G49" s="29">
        <f t="shared" si="0"/>
        <v>22.915887850467289</v>
      </c>
      <c r="H49" s="3">
        <v>107</v>
      </c>
      <c r="I49" s="3">
        <v>2452</v>
      </c>
      <c r="J49" s="3">
        <v>85</v>
      </c>
      <c r="K49" s="3">
        <v>228</v>
      </c>
      <c r="L49" s="3">
        <v>702</v>
      </c>
      <c r="M49" s="3">
        <v>15</v>
      </c>
      <c r="N49" s="3">
        <v>0</v>
      </c>
      <c r="O49" s="3">
        <v>2</v>
      </c>
      <c r="P49" s="3">
        <v>32</v>
      </c>
      <c r="Q49" s="9" t="s">
        <v>906</v>
      </c>
      <c r="R49" s="3">
        <v>0.75</v>
      </c>
    </row>
    <row r="50" spans="1:18" x14ac:dyDescent="0.3">
      <c r="A50" s="4" t="s">
        <v>833</v>
      </c>
      <c r="B50" s="3" t="s">
        <v>4</v>
      </c>
      <c r="C50" s="3" t="s">
        <v>208</v>
      </c>
      <c r="D50" s="3" t="s">
        <v>926</v>
      </c>
      <c r="E50" s="3">
        <v>5.8</v>
      </c>
      <c r="F50" s="3">
        <v>8.8000000000000007</v>
      </c>
      <c r="G50" s="29">
        <f t="shared" si="0"/>
        <v>25.211009174311926</v>
      </c>
      <c r="H50" s="3">
        <v>109</v>
      </c>
      <c r="I50" s="3">
        <v>2748</v>
      </c>
      <c r="J50" s="3">
        <v>72</v>
      </c>
      <c r="K50" s="3">
        <v>223</v>
      </c>
      <c r="L50" s="3">
        <v>622</v>
      </c>
      <c r="M50" s="3">
        <v>11</v>
      </c>
      <c r="N50" s="3">
        <v>1</v>
      </c>
      <c r="O50" s="3">
        <v>3</v>
      </c>
      <c r="P50" s="3">
        <v>32</v>
      </c>
      <c r="Q50" s="9" t="s">
        <v>908</v>
      </c>
      <c r="R50" s="3">
        <v>0</v>
      </c>
    </row>
    <row r="51" spans="1:18" x14ac:dyDescent="0.3">
      <c r="A51" s="4" t="s">
        <v>954</v>
      </c>
      <c r="B51" s="3" t="s">
        <v>4</v>
      </c>
      <c r="C51" s="3" t="s">
        <v>208</v>
      </c>
      <c r="D51" s="3" t="s">
        <v>924</v>
      </c>
      <c r="E51" s="3">
        <v>7.1</v>
      </c>
      <c r="F51" s="3">
        <v>9</v>
      </c>
      <c r="G51" s="29">
        <f t="shared" si="0"/>
        <v>20.881720430107528</v>
      </c>
      <c r="H51" s="3">
        <v>93</v>
      </c>
      <c r="I51" s="3">
        <v>1942</v>
      </c>
      <c r="J51" s="3">
        <v>80</v>
      </c>
      <c r="K51" s="3">
        <v>164</v>
      </c>
      <c r="L51" s="3">
        <v>467</v>
      </c>
      <c r="M51" s="3">
        <v>12</v>
      </c>
      <c r="N51" s="3">
        <v>0</v>
      </c>
      <c r="O51" s="3">
        <v>0</v>
      </c>
      <c r="P51" s="3">
        <v>28</v>
      </c>
      <c r="Q51" s="9" t="s">
        <v>906</v>
      </c>
      <c r="R51" s="3">
        <v>0</v>
      </c>
    </row>
    <row r="52" spans="1:18" x14ac:dyDescent="0.3">
      <c r="A52" s="4" t="s">
        <v>610</v>
      </c>
      <c r="B52" s="3" t="s">
        <v>4</v>
      </c>
      <c r="C52" s="3" t="s">
        <v>387</v>
      </c>
      <c r="D52" s="3" t="s">
        <v>924</v>
      </c>
      <c r="E52" s="3">
        <v>6.4</v>
      </c>
      <c r="F52" s="3">
        <v>8.6</v>
      </c>
      <c r="G52" s="29">
        <f t="shared" si="0"/>
        <v>22.565573770491802</v>
      </c>
      <c r="H52" s="3">
        <v>122</v>
      </c>
      <c r="I52" s="3">
        <v>2753</v>
      </c>
      <c r="J52" s="3">
        <v>119</v>
      </c>
      <c r="K52" s="3">
        <v>257</v>
      </c>
      <c r="L52" s="3">
        <v>780</v>
      </c>
      <c r="M52" s="3">
        <v>11</v>
      </c>
      <c r="N52" s="3">
        <v>0</v>
      </c>
      <c r="O52" s="3">
        <v>2</v>
      </c>
      <c r="P52" s="3">
        <v>30</v>
      </c>
      <c r="Q52" s="9" t="s">
        <v>906</v>
      </c>
      <c r="R52" s="3">
        <v>10.75</v>
      </c>
    </row>
    <row r="53" spans="1:18" x14ac:dyDescent="0.3">
      <c r="A53" s="4" t="s">
        <v>704</v>
      </c>
      <c r="B53" s="3" t="s">
        <v>4</v>
      </c>
      <c r="C53" s="3" t="s">
        <v>387</v>
      </c>
      <c r="D53" s="3" t="s">
        <v>924</v>
      </c>
      <c r="E53" s="3">
        <v>7.8</v>
      </c>
      <c r="F53" s="3">
        <v>8.5</v>
      </c>
      <c r="G53" s="29">
        <f t="shared" si="0"/>
        <v>18.241379310344829</v>
      </c>
      <c r="H53" s="3">
        <v>29</v>
      </c>
      <c r="I53" s="3">
        <v>529</v>
      </c>
      <c r="J53" s="3">
        <v>26</v>
      </c>
      <c r="K53" s="3">
        <v>46</v>
      </c>
      <c r="L53" s="3">
        <v>152</v>
      </c>
      <c r="M53" s="3">
        <v>5</v>
      </c>
      <c r="N53" s="3">
        <v>0</v>
      </c>
      <c r="O53" s="3">
        <v>2</v>
      </c>
      <c r="P53" s="3">
        <v>31</v>
      </c>
      <c r="Q53" s="9" t="s">
        <v>906</v>
      </c>
      <c r="R53" s="3">
        <v>2</v>
      </c>
    </row>
    <row r="54" spans="1:18" x14ac:dyDescent="0.3">
      <c r="A54" s="4" t="s">
        <v>612</v>
      </c>
      <c r="B54" s="3" t="s">
        <v>4</v>
      </c>
      <c r="C54" s="3" t="s">
        <v>387</v>
      </c>
      <c r="D54" s="3" t="s">
        <v>925</v>
      </c>
      <c r="E54" s="3">
        <v>4.3</v>
      </c>
      <c r="F54" s="3">
        <v>6.8</v>
      </c>
      <c r="G54" s="29">
        <f t="shared" si="0"/>
        <v>26.53409090909091</v>
      </c>
      <c r="H54" s="3">
        <v>88</v>
      </c>
      <c r="I54" s="3">
        <v>2335</v>
      </c>
      <c r="J54" s="3">
        <v>95</v>
      </c>
      <c r="K54" s="3">
        <v>125</v>
      </c>
      <c r="L54" s="3">
        <v>786</v>
      </c>
      <c r="M54" s="3">
        <v>7</v>
      </c>
      <c r="N54" s="3">
        <v>0</v>
      </c>
      <c r="O54" s="3">
        <v>3</v>
      </c>
      <c r="P54" s="3">
        <v>36</v>
      </c>
      <c r="Q54" s="9" t="s">
        <v>906</v>
      </c>
      <c r="R54" s="3">
        <v>0.94</v>
      </c>
    </row>
    <row r="55" spans="1:18" x14ac:dyDescent="0.3">
      <c r="A55" s="4" t="s">
        <v>614</v>
      </c>
      <c r="B55" s="3" t="s">
        <v>4</v>
      </c>
      <c r="C55" s="3" t="s">
        <v>387</v>
      </c>
      <c r="D55" s="3" t="s">
        <v>924</v>
      </c>
      <c r="E55" s="3">
        <v>5.3</v>
      </c>
      <c r="F55" s="3">
        <v>8.1999999999999993</v>
      </c>
      <c r="G55" s="29">
        <f t="shared" si="0"/>
        <v>25.517241379310345</v>
      </c>
      <c r="H55" s="3">
        <v>58</v>
      </c>
      <c r="I55" s="3">
        <v>1480</v>
      </c>
      <c r="J55" s="3">
        <v>50</v>
      </c>
      <c r="K55" s="3">
        <v>152</v>
      </c>
      <c r="L55" s="3">
        <v>456</v>
      </c>
      <c r="M55" s="3">
        <v>5</v>
      </c>
      <c r="N55" s="3">
        <v>0</v>
      </c>
      <c r="O55" s="3">
        <v>2</v>
      </c>
      <c r="P55" s="3">
        <v>30</v>
      </c>
      <c r="Q55" s="9" t="s">
        <v>906</v>
      </c>
      <c r="R55" s="3">
        <v>3.5</v>
      </c>
    </row>
    <row r="56" spans="1:18" x14ac:dyDescent="0.3">
      <c r="A56" s="4" t="s">
        <v>611</v>
      </c>
      <c r="B56" s="3" t="s">
        <v>4</v>
      </c>
      <c r="C56" s="3" t="s">
        <v>387</v>
      </c>
      <c r="D56" s="3" t="s">
        <v>924</v>
      </c>
      <c r="E56" s="3">
        <v>5.6</v>
      </c>
      <c r="F56" s="3">
        <v>9.1</v>
      </c>
      <c r="G56" s="29">
        <f t="shared" si="0"/>
        <v>27.16393442622951</v>
      </c>
      <c r="H56" s="3">
        <v>61</v>
      </c>
      <c r="I56" s="3">
        <v>1657</v>
      </c>
      <c r="J56" s="3">
        <v>76</v>
      </c>
      <c r="K56" s="3">
        <v>163</v>
      </c>
      <c r="L56" s="3">
        <v>446</v>
      </c>
      <c r="M56" s="3">
        <v>4</v>
      </c>
      <c r="N56" s="3">
        <v>0</v>
      </c>
      <c r="O56" s="3">
        <v>1</v>
      </c>
      <c r="P56" s="3">
        <v>32</v>
      </c>
      <c r="Q56" s="9" t="s">
        <v>906</v>
      </c>
      <c r="R56" s="3">
        <v>2</v>
      </c>
    </row>
    <row r="57" spans="1:18" x14ac:dyDescent="0.3">
      <c r="A57" s="4" t="s">
        <v>955</v>
      </c>
      <c r="B57" s="3" t="s">
        <v>4</v>
      </c>
      <c r="C57" s="3" t="s">
        <v>387</v>
      </c>
      <c r="D57" s="3" t="s">
        <v>924</v>
      </c>
      <c r="E57" s="3">
        <v>7.4</v>
      </c>
      <c r="F57" s="3">
        <v>7.7</v>
      </c>
      <c r="G57" s="29">
        <f t="shared" si="0"/>
        <v>17.481481481481481</v>
      </c>
      <c r="H57" s="3">
        <v>108</v>
      </c>
      <c r="I57" s="3">
        <v>1888</v>
      </c>
      <c r="J57" s="3">
        <v>62</v>
      </c>
      <c r="K57" s="3">
        <v>160</v>
      </c>
      <c r="L57" s="3">
        <v>580</v>
      </c>
      <c r="M57" s="3">
        <v>8</v>
      </c>
      <c r="N57" s="3">
        <v>2</v>
      </c>
      <c r="O57" s="3">
        <v>4</v>
      </c>
      <c r="P57" s="3">
        <v>32</v>
      </c>
      <c r="Q57" s="9" t="s">
        <v>906</v>
      </c>
      <c r="R57" s="3">
        <v>2.57</v>
      </c>
    </row>
    <row r="58" spans="1:18" x14ac:dyDescent="0.3">
      <c r="A58" s="4" t="s">
        <v>715</v>
      </c>
      <c r="B58" s="3" t="s">
        <v>4</v>
      </c>
      <c r="C58" s="3" t="s">
        <v>387</v>
      </c>
      <c r="D58" s="3" t="s">
        <v>926</v>
      </c>
      <c r="E58" s="3">
        <v>5.6</v>
      </c>
      <c r="F58" s="3">
        <v>7.9</v>
      </c>
      <c r="G58" s="29">
        <f t="shared" si="0"/>
        <v>23.716049382716051</v>
      </c>
      <c r="H58" s="3">
        <v>81</v>
      </c>
      <c r="I58" s="3">
        <v>1921</v>
      </c>
      <c r="J58" s="3">
        <v>82</v>
      </c>
      <c r="K58" s="3">
        <v>150</v>
      </c>
      <c r="L58" s="3">
        <v>619</v>
      </c>
      <c r="M58" s="3">
        <v>9</v>
      </c>
      <c r="N58" s="3">
        <v>0</v>
      </c>
      <c r="O58" s="3">
        <v>4</v>
      </c>
      <c r="P58" s="3">
        <v>27</v>
      </c>
      <c r="Q58" s="9" t="s">
        <v>908</v>
      </c>
      <c r="R58" s="3">
        <v>0.96</v>
      </c>
    </row>
    <row r="59" spans="1:18" x14ac:dyDescent="0.3">
      <c r="A59" s="4" t="s">
        <v>613</v>
      </c>
      <c r="B59" s="3" t="s">
        <v>4</v>
      </c>
      <c r="C59" s="3" t="s">
        <v>387</v>
      </c>
      <c r="D59" s="3" t="s">
        <v>925</v>
      </c>
      <c r="E59" s="3">
        <v>5.8</v>
      </c>
      <c r="F59" s="3">
        <v>7.4</v>
      </c>
      <c r="G59" s="29">
        <f t="shared" si="0"/>
        <v>21.421319796954315</v>
      </c>
      <c r="H59" s="3">
        <v>197</v>
      </c>
      <c r="I59" s="3">
        <v>4220</v>
      </c>
      <c r="J59" s="3">
        <v>179</v>
      </c>
      <c r="K59" s="3">
        <v>218</v>
      </c>
      <c r="L59" s="3">
        <v>1136</v>
      </c>
      <c r="M59" s="3">
        <v>22</v>
      </c>
      <c r="N59" s="3">
        <v>0</v>
      </c>
      <c r="O59" s="3">
        <v>5</v>
      </c>
      <c r="P59" s="3">
        <v>36</v>
      </c>
      <c r="Q59" s="9" t="s">
        <v>906</v>
      </c>
      <c r="R59" s="3">
        <v>0.73</v>
      </c>
    </row>
    <row r="60" spans="1:18" x14ac:dyDescent="0.3">
      <c r="A60" s="4" t="s">
        <v>625</v>
      </c>
      <c r="B60" s="3" t="s">
        <v>4</v>
      </c>
      <c r="C60" s="3" t="s">
        <v>623</v>
      </c>
      <c r="D60" s="3" t="s">
        <v>925</v>
      </c>
      <c r="E60" s="3">
        <v>4.0999999999999996</v>
      </c>
      <c r="F60" s="3">
        <v>7.3</v>
      </c>
      <c r="G60" s="29">
        <f t="shared" si="0"/>
        <v>29.4</v>
      </c>
      <c r="H60" s="3">
        <v>25</v>
      </c>
      <c r="I60" s="3">
        <v>735</v>
      </c>
      <c r="J60" s="3">
        <v>22</v>
      </c>
      <c r="K60" s="3">
        <v>63</v>
      </c>
      <c r="L60" s="3">
        <v>216</v>
      </c>
      <c r="M60" s="3">
        <v>1</v>
      </c>
      <c r="N60" s="3">
        <v>0</v>
      </c>
      <c r="O60" s="3">
        <v>0</v>
      </c>
      <c r="P60" s="3">
        <v>34</v>
      </c>
      <c r="Q60" s="9" t="s">
        <v>906</v>
      </c>
      <c r="R60" s="3">
        <v>2</v>
      </c>
    </row>
    <row r="61" spans="1:18" x14ac:dyDescent="0.3">
      <c r="A61" s="4" t="s">
        <v>843</v>
      </c>
      <c r="B61" s="3" t="s">
        <v>4</v>
      </c>
      <c r="C61" s="3" t="s">
        <v>623</v>
      </c>
      <c r="D61" s="3" t="s">
        <v>925</v>
      </c>
      <c r="E61" s="3">
        <v>5.4</v>
      </c>
      <c r="F61" s="3">
        <v>8.9</v>
      </c>
      <c r="G61" s="29">
        <f t="shared" si="0"/>
        <v>27.59375</v>
      </c>
      <c r="H61" s="3">
        <v>128</v>
      </c>
      <c r="I61" s="3">
        <v>3532</v>
      </c>
      <c r="J61" s="3">
        <v>112</v>
      </c>
      <c r="K61" s="3">
        <v>110</v>
      </c>
      <c r="L61" s="3">
        <v>580</v>
      </c>
      <c r="M61" s="3">
        <v>10</v>
      </c>
      <c r="N61" s="3">
        <v>2</v>
      </c>
      <c r="O61" s="3">
        <v>1</v>
      </c>
      <c r="P61" s="3">
        <v>33</v>
      </c>
      <c r="Q61" s="9" t="s">
        <v>906</v>
      </c>
      <c r="R61" s="3">
        <v>0</v>
      </c>
    </row>
    <row r="62" spans="1:18" x14ac:dyDescent="0.3">
      <c r="A62" s="4" t="s">
        <v>429</v>
      </c>
      <c r="B62" s="3" t="s">
        <v>4</v>
      </c>
      <c r="C62" s="3" t="s">
        <v>623</v>
      </c>
      <c r="D62" s="3" t="s">
        <v>925</v>
      </c>
      <c r="E62" s="3">
        <v>6.4</v>
      </c>
      <c r="F62" s="3">
        <v>7.5</v>
      </c>
      <c r="G62" s="29">
        <f t="shared" si="0"/>
        <v>19.45</v>
      </c>
      <c r="H62" s="3">
        <v>60</v>
      </c>
      <c r="I62" s="3">
        <v>1167</v>
      </c>
      <c r="J62" s="3">
        <v>53</v>
      </c>
      <c r="K62" s="3">
        <v>71</v>
      </c>
      <c r="L62" s="3">
        <v>349</v>
      </c>
      <c r="M62" s="3">
        <v>7</v>
      </c>
      <c r="N62" s="3">
        <v>0</v>
      </c>
      <c r="O62" s="3">
        <v>0</v>
      </c>
      <c r="P62" s="3">
        <v>22</v>
      </c>
      <c r="Q62" s="9" t="s">
        <v>908</v>
      </c>
      <c r="R62" s="3">
        <v>0</v>
      </c>
    </row>
    <row r="63" spans="1:18" x14ac:dyDescent="0.3">
      <c r="A63" s="4" t="s">
        <v>842</v>
      </c>
      <c r="B63" s="3" t="s">
        <v>4</v>
      </c>
      <c r="C63" s="3" t="s">
        <v>623</v>
      </c>
      <c r="D63" s="3" t="s">
        <v>924</v>
      </c>
      <c r="E63" s="3">
        <v>5.4</v>
      </c>
      <c r="F63" s="3">
        <v>9.6999999999999993</v>
      </c>
      <c r="G63" s="29">
        <f t="shared" si="0"/>
        <v>29.714285714285715</v>
      </c>
      <c r="H63" s="3">
        <v>14</v>
      </c>
      <c r="I63" s="3">
        <v>416</v>
      </c>
      <c r="J63" s="3">
        <v>22</v>
      </c>
      <c r="K63" s="3">
        <v>41</v>
      </c>
      <c r="L63" s="3">
        <v>104</v>
      </c>
      <c r="M63" s="3">
        <v>2</v>
      </c>
      <c r="N63" s="3">
        <v>0</v>
      </c>
      <c r="O63" s="3">
        <v>1</v>
      </c>
      <c r="P63" s="3">
        <v>32</v>
      </c>
      <c r="Q63" s="9" t="s">
        <v>906</v>
      </c>
      <c r="R63" s="3">
        <v>2</v>
      </c>
    </row>
    <row r="64" spans="1:18" x14ac:dyDescent="0.3">
      <c r="A64" s="4" t="s">
        <v>1013</v>
      </c>
      <c r="B64" s="3" t="s">
        <v>4</v>
      </c>
      <c r="C64" s="3" t="s">
        <v>623</v>
      </c>
      <c r="D64" s="3" t="s">
        <v>924</v>
      </c>
      <c r="E64" s="3">
        <v>5.5</v>
      </c>
      <c r="F64" s="3">
        <v>8.4</v>
      </c>
      <c r="G64" s="29">
        <f>I64/H64</f>
        <v>25.478260869565219</v>
      </c>
      <c r="H64" s="3">
        <v>46</v>
      </c>
      <c r="I64" s="3">
        <v>1172</v>
      </c>
      <c r="J64" s="3">
        <v>46</v>
      </c>
      <c r="K64" s="3">
        <v>114</v>
      </c>
      <c r="L64" s="3">
        <v>345</v>
      </c>
      <c r="M64" s="3">
        <v>5</v>
      </c>
      <c r="N64" s="3">
        <v>1</v>
      </c>
      <c r="O64" s="3">
        <v>0</v>
      </c>
      <c r="P64" s="3">
        <v>25</v>
      </c>
      <c r="Q64" s="9" t="s">
        <v>906</v>
      </c>
      <c r="R64" s="3">
        <v>3</v>
      </c>
    </row>
    <row r="65" spans="1:18" x14ac:dyDescent="0.3">
      <c r="A65" s="4" t="s">
        <v>626</v>
      </c>
      <c r="B65" s="3" t="s">
        <v>4</v>
      </c>
      <c r="C65" s="3" t="s">
        <v>623</v>
      </c>
      <c r="D65" s="3" t="s">
        <v>924</v>
      </c>
      <c r="E65" s="3">
        <v>5.2</v>
      </c>
      <c r="F65" s="3">
        <v>9</v>
      </c>
      <c r="G65" s="29">
        <f t="shared" ref="G65:G108" si="1">I65/H65</f>
        <v>28.90566037735849</v>
      </c>
      <c r="H65" s="3">
        <v>53</v>
      </c>
      <c r="I65" s="3">
        <v>1532</v>
      </c>
      <c r="J65" s="3">
        <v>67</v>
      </c>
      <c r="K65" s="3">
        <v>147</v>
      </c>
      <c r="L65" s="3">
        <v>402</v>
      </c>
      <c r="M65" s="3">
        <v>4</v>
      </c>
      <c r="N65" s="3">
        <v>0</v>
      </c>
      <c r="O65" s="3">
        <v>0</v>
      </c>
      <c r="P65" s="3">
        <v>34</v>
      </c>
      <c r="Q65" s="9" t="s">
        <v>906</v>
      </c>
      <c r="R65" s="3">
        <v>2</v>
      </c>
    </row>
    <row r="66" spans="1:18" x14ac:dyDescent="0.3">
      <c r="A66" s="4" t="s">
        <v>627</v>
      </c>
      <c r="B66" s="3" t="s">
        <v>4</v>
      </c>
      <c r="C66" s="3" t="s">
        <v>623</v>
      </c>
      <c r="D66" s="3" t="s">
        <v>924</v>
      </c>
      <c r="E66" s="3">
        <v>6.9</v>
      </c>
      <c r="F66" s="3">
        <v>8.3000000000000007</v>
      </c>
      <c r="G66" s="29">
        <f t="shared" si="1"/>
        <v>20.050847457627118</v>
      </c>
      <c r="H66" s="3">
        <v>59</v>
      </c>
      <c r="I66" s="3">
        <v>1183</v>
      </c>
      <c r="J66" s="3">
        <v>55</v>
      </c>
      <c r="K66" s="3">
        <v>105</v>
      </c>
      <c r="L66" s="3">
        <v>364</v>
      </c>
      <c r="M66" s="3">
        <v>8</v>
      </c>
      <c r="N66" s="3">
        <v>0</v>
      </c>
      <c r="O66" s="3">
        <v>3</v>
      </c>
      <c r="P66" s="3">
        <v>28</v>
      </c>
      <c r="Q66" s="9" t="s">
        <v>906</v>
      </c>
      <c r="R66" s="3">
        <v>1.5</v>
      </c>
    </row>
    <row r="67" spans="1:18" x14ac:dyDescent="0.3">
      <c r="A67" s="4" t="s">
        <v>852</v>
      </c>
      <c r="B67" s="3" t="s">
        <v>4</v>
      </c>
      <c r="C67" s="3" t="s">
        <v>623</v>
      </c>
      <c r="D67" s="3" t="s">
        <v>924</v>
      </c>
      <c r="E67" s="3">
        <v>6.5</v>
      </c>
      <c r="F67" s="3">
        <v>8.3000000000000007</v>
      </c>
      <c r="G67" s="29">
        <f t="shared" si="1"/>
        <v>21.179856115107913</v>
      </c>
      <c r="H67" s="3">
        <v>139</v>
      </c>
      <c r="I67" s="3">
        <v>2944</v>
      </c>
      <c r="J67" s="3">
        <v>101</v>
      </c>
      <c r="K67" s="3">
        <v>281</v>
      </c>
      <c r="L67" s="3">
        <v>864</v>
      </c>
      <c r="M67" s="3">
        <v>15</v>
      </c>
      <c r="N67" s="3">
        <v>1</v>
      </c>
      <c r="O67" s="3">
        <v>5</v>
      </c>
      <c r="P67" s="3">
        <v>32</v>
      </c>
      <c r="Q67" s="9" t="s">
        <v>906</v>
      </c>
      <c r="R67" s="3">
        <v>0</v>
      </c>
    </row>
    <row r="68" spans="1:18" x14ac:dyDescent="0.3">
      <c r="A68" s="4" t="s">
        <v>841</v>
      </c>
      <c r="B68" s="3" t="s">
        <v>4</v>
      </c>
      <c r="C68" s="3" t="s">
        <v>623</v>
      </c>
      <c r="D68" s="3" t="s">
        <v>924</v>
      </c>
      <c r="E68" s="3">
        <v>6.9</v>
      </c>
      <c r="F68" s="3">
        <v>8.3000000000000007</v>
      </c>
      <c r="G68" s="29">
        <f t="shared" si="1"/>
        <v>20.063636363636363</v>
      </c>
      <c r="H68" s="3">
        <v>110</v>
      </c>
      <c r="I68" s="3">
        <v>2207</v>
      </c>
      <c r="J68" s="3">
        <v>64</v>
      </c>
      <c r="K68" s="3">
        <v>162</v>
      </c>
      <c r="L68" s="3">
        <v>570</v>
      </c>
      <c r="M68" s="3">
        <v>16</v>
      </c>
      <c r="N68" s="3">
        <v>2</v>
      </c>
      <c r="O68" s="3">
        <v>4</v>
      </c>
      <c r="P68" s="3">
        <v>34</v>
      </c>
      <c r="Q68" s="9" t="s">
        <v>906</v>
      </c>
      <c r="R68" s="3">
        <v>2</v>
      </c>
    </row>
    <row r="69" spans="1:18" x14ac:dyDescent="0.3">
      <c r="A69" s="4" t="s">
        <v>476</v>
      </c>
      <c r="B69" s="3" t="s">
        <v>4</v>
      </c>
      <c r="C69" s="3" t="s">
        <v>484</v>
      </c>
      <c r="D69" s="3" t="s">
        <v>925</v>
      </c>
      <c r="E69" s="3">
        <v>4.7</v>
      </c>
      <c r="F69" s="3">
        <v>6.9</v>
      </c>
      <c r="G69" s="29">
        <f t="shared" si="1"/>
        <v>24.482758620689655</v>
      </c>
      <c r="H69" s="3">
        <v>145</v>
      </c>
      <c r="I69" s="3">
        <v>3550</v>
      </c>
      <c r="J69" s="3">
        <v>155</v>
      </c>
      <c r="K69" s="3">
        <v>353</v>
      </c>
      <c r="L69" s="3">
        <v>1366</v>
      </c>
      <c r="M69" s="3">
        <v>11</v>
      </c>
      <c r="N69" s="3">
        <v>0</v>
      </c>
      <c r="O69" s="3">
        <v>5</v>
      </c>
      <c r="P69" s="3">
        <v>32</v>
      </c>
      <c r="Q69" s="9" t="s">
        <v>906</v>
      </c>
      <c r="R69" s="3">
        <v>2</v>
      </c>
    </row>
    <row r="70" spans="1:18" x14ac:dyDescent="0.3">
      <c r="A70" s="4" t="s">
        <v>473</v>
      </c>
      <c r="B70" s="3" t="s">
        <v>4</v>
      </c>
      <c r="C70" s="3" t="s">
        <v>484</v>
      </c>
      <c r="D70" s="3" t="s">
        <v>925</v>
      </c>
      <c r="E70" s="3">
        <v>6.1</v>
      </c>
      <c r="F70" s="3">
        <v>7.2</v>
      </c>
      <c r="G70" s="29">
        <f t="shared" si="1"/>
        <v>19.831168831168831</v>
      </c>
      <c r="H70" s="3">
        <v>77</v>
      </c>
      <c r="I70" s="3">
        <v>1527</v>
      </c>
      <c r="J70" s="3">
        <v>85</v>
      </c>
      <c r="K70" s="3">
        <v>71</v>
      </c>
      <c r="L70" s="3">
        <v>513</v>
      </c>
      <c r="M70" s="3">
        <v>8</v>
      </c>
      <c r="N70" s="3">
        <v>1</v>
      </c>
      <c r="O70" s="3">
        <v>5</v>
      </c>
      <c r="P70" s="3">
        <v>30</v>
      </c>
      <c r="Q70" s="9" t="s">
        <v>906</v>
      </c>
      <c r="R70" s="3">
        <v>0.37</v>
      </c>
    </row>
    <row r="71" spans="1:18" x14ac:dyDescent="0.3">
      <c r="A71" s="4" t="s">
        <v>620</v>
      </c>
      <c r="B71" s="3" t="s">
        <v>4</v>
      </c>
      <c r="C71" s="3" t="s">
        <v>484</v>
      </c>
      <c r="D71" s="3" t="s">
        <v>924</v>
      </c>
      <c r="E71" s="3">
        <v>4.8</v>
      </c>
      <c r="F71" s="3">
        <v>9.6</v>
      </c>
      <c r="G71" s="29">
        <f t="shared" si="1"/>
        <v>32.904761904761905</v>
      </c>
      <c r="H71" s="3">
        <v>21</v>
      </c>
      <c r="I71" s="3">
        <v>691</v>
      </c>
      <c r="J71" s="3">
        <v>43</v>
      </c>
      <c r="K71" s="3">
        <v>53</v>
      </c>
      <c r="L71" s="3">
        <v>172</v>
      </c>
      <c r="M71" s="3">
        <v>0</v>
      </c>
      <c r="N71" s="3">
        <v>1</v>
      </c>
      <c r="O71" s="3">
        <v>1</v>
      </c>
      <c r="P71" s="3">
        <v>29</v>
      </c>
      <c r="Q71" s="9" t="s">
        <v>906</v>
      </c>
      <c r="R71" s="3">
        <v>11.5</v>
      </c>
    </row>
    <row r="72" spans="1:18" x14ac:dyDescent="0.3">
      <c r="A72" s="4" t="s">
        <v>884</v>
      </c>
      <c r="B72" s="3" t="s">
        <v>4</v>
      </c>
      <c r="C72" s="3" t="s">
        <v>484</v>
      </c>
      <c r="D72" s="3" t="s">
        <v>924</v>
      </c>
      <c r="E72" s="3">
        <v>4.7</v>
      </c>
      <c r="F72" s="3">
        <v>8.5</v>
      </c>
      <c r="G72" s="29">
        <f t="shared" si="1"/>
        <v>29.928571428571427</v>
      </c>
      <c r="H72" s="3">
        <v>14</v>
      </c>
      <c r="I72" s="3">
        <v>419</v>
      </c>
      <c r="J72" s="3">
        <v>12</v>
      </c>
      <c r="K72" s="3">
        <v>41</v>
      </c>
      <c r="L72" s="3">
        <v>116</v>
      </c>
      <c r="M72" s="3">
        <v>2</v>
      </c>
      <c r="N72" s="3">
        <v>0</v>
      </c>
      <c r="O72" s="3">
        <v>0</v>
      </c>
      <c r="P72" s="3">
        <v>26</v>
      </c>
      <c r="Q72" s="9" t="s">
        <v>906</v>
      </c>
      <c r="R72" s="3">
        <v>0.37</v>
      </c>
    </row>
    <row r="73" spans="1:18" x14ac:dyDescent="0.3">
      <c r="A73" s="4" t="s">
        <v>956</v>
      </c>
      <c r="B73" s="3" t="s">
        <v>4</v>
      </c>
      <c r="C73" s="3" t="s">
        <v>484</v>
      </c>
      <c r="D73" s="3" t="s">
        <v>925</v>
      </c>
      <c r="E73" s="3">
        <v>4.8</v>
      </c>
      <c r="F73" s="3">
        <v>6.9</v>
      </c>
      <c r="G73" s="29">
        <f t="shared" si="1"/>
        <v>24.075757575757574</v>
      </c>
      <c r="H73" s="3">
        <v>66</v>
      </c>
      <c r="I73" s="3">
        <v>1589</v>
      </c>
      <c r="J73" s="3">
        <v>62</v>
      </c>
      <c r="K73" s="3">
        <v>106</v>
      </c>
      <c r="L73" s="3">
        <v>520</v>
      </c>
      <c r="M73" s="3">
        <v>5</v>
      </c>
      <c r="N73" s="3">
        <v>0</v>
      </c>
      <c r="O73" s="3">
        <v>3</v>
      </c>
      <c r="P73" s="3">
        <v>34</v>
      </c>
      <c r="Q73" s="9" t="s">
        <v>906</v>
      </c>
      <c r="R73" s="3">
        <v>0</v>
      </c>
    </row>
    <row r="74" spans="1:18" x14ac:dyDescent="0.3">
      <c r="A74" s="4" t="s">
        <v>616</v>
      </c>
      <c r="B74" s="3" t="s">
        <v>4</v>
      </c>
      <c r="C74" s="8" t="s">
        <v>534</v>
      </c>
      <c r="D74" s="3" t="s">
        <v>925</v>
      </c>
      <c r="E74" s="3">
        <v>5.8</v>
      </c>
      <c r="F74" s="3">
        <v>8.4</v>
      </c>
      <c r="G74" s="29">
        <f t="shared" si="1"/>
        <v>24.326086956521738</v>
      </c>
      <c r="H74" s="3">
        <v>46</v>
      </c>
      <c r="I74" s="3">
        <v>1119</v>
      </c>
      <c r="J74" s="3">
        <v>70</v>
      </c>
      <c r="K74" s="3">
        <v>65</v>
      </c>
      <c r="L74" s="3">
        <v>276</v>
      </c>
      <c r="M74" s="3">
        <v>2</v>
      </c>
      <c r="N74" s="3">
        <v>1</v>
      </c>
      <c r="O74" s="3">
        <v>1</v>
      </c>
      <c r="P74" s="3">
        <v>28</v>
      </c>
      <c r="Q74" s="9" t="s">
        <v>906</v>
      </c>
      <c r="R74" s="3">
        <v>2</v>
      </c>
    </row>
    <row r="75" spans="1:18" x14ac:dyDescent="0.3">
      <c r="A75" s="4" t="s">
        <v>617</v>
      </c>
      <c r="B75" s="3" t="s">
        <v>4</v>
      </c>
      <c r="C75" s="8" t="s">
        <v>534</v>
      </c>
      <c r="D75" s="3" t="s">
        <v>925</v>
      </c>
      <c r="E75" s="3">
        <v>5</v>
      </c>
      <c r="F75" s="3">
        <v>7</v>
      </c>
      <c r="G75" s="29">
        <f t="shared" si="1"/>
        <v>23.373493975903614</v>
      </c>
      <c r="H75" s="3">
        <v>83</v>
      </c>
      <c r="I75" s="3">
        <v>1940</v>
      </c>
      <c r="J75" s="3">
        <v>62</v>
      </c>
      <c r="K75" s="3">
        <v>151</v>
      </c>
      <c r="L75" s="3">
        <v>665</v>
      </c>
      <c r="M75" s="3">
        <v>11</v>
      </c>
      <c r="N75" s="3">
        <v>0</v>
      </c>
      <c r="O75" s="3">
        <v>4</v>
      </c>
      <c r="P75" s="3">
        <v>26</v>
      </c>
      <c r="Q75" s="9" t="s">
        <v>906</v>
      </c>
      <c r="R75" s="3">
        <v>4.4000000000000004</v>
      </c>
    </row>
    <row r="76" spans="1:18" x14ac:dyDescent="0.3">
      <c r="A76" s="4" t="s">
        <v>619</v>
      </c>
      <c r="B76" s="3" t="s">
        <v>4</v>
      </c>
      <c r="C76" s="8" t="s">
        <v>534</v>
      </c>
      <c r="D76" s="3" t="s">
        <v>924</v>
      </c>
      <c r="E76" s="3">
        <v>6</v>
      </c>
      <c r="F76" s="3">
        <v>8.9</v>
      </c>
      <c r="G76" s="29">
        <f t="shared" si="1"/>
        <v>24.595744680851062</v>
      </c>
      <c r="H76" s="3">
        <v>47</v>
      </c>
      <c r="I76" s="3">
        <v>1156</v>
      </c>
      <c r="J76" s="3">
        <v>38</v>
      </c>
      <c r="K76" s="3">
        <v>90</v>
      </c>
      <c r="L76" s="3">
        <v>289</v>
      </c>
      <c r="M76" s="3">
        <v>7</v>
      </c>
      <c r="N76" s="3">
        <v>0</v>
      </c>
      <c r="O76" s="3">
        <v>1</v>
      </c>
      <c r="P76" s="3">
        <v>24</v>
      </c>
      <c r="Q76" s="9" t="s">
        <v>906</v>
      </c>
      <c r="R76" s="3">
        <v>18</v>
      </c>
    </row>
    <row r="77" spans="1:18" x14ac:dyDescent="0.3">
      <c r="A77" s="4" t="s">
        <v>862</v>
      </c>
      <c r="B77" s="3" t="s">
        <v>4</v>
      </c>
      <c r="C77" s="8" t="s">
        <v>534</v>
      </c>
      <c r="D77" s="3" t="s">
        <v>924</v>
      </c>
      <c r="E77" s="3">
        <v>5.4</v>
      </c>
      <c r="F77" s="3">
        <v>8.5</v>
      </c>
      <c r="G77" s="29">
        <f t="shared" si="1"/>
        <v>26.436363636363637</v>
      </c>
      <c r="H77" s="3">
        <v>55</v>
      </c>
      <c r="I77" s="3">
        <v>1454</v>
      </c>
      <c r="J77" s="3">
        <v>45</v>
      </c>
      <c r="K77" s="3">
        <v>168</v>
      </c>
      <c r="L77" s="3">
        <v>423</v>
      </c>
      <c r="M77" s="3">
        <v>7</v>
      </c>
      <c r="N77" s="3">
        <v>0</v>
      </c>
      <c r="O77" s="3">
        <v>0</v>
      </c>
      <c r="P77" s="3">
        <v>33</v>
      </c>
      <c r="Q77" s="9" t="s">
        <v>906</v>
      </c>
      <c r="R77" s="3">
        <v>0.75</v>
      </c>
    </row>
    <row r="78" spans="1:18" x14ac:dyDescent="0.3">
      <c r="A78" s="4" t="s">
        <v>957</v>
      </c>
      <c r="B78" s="3" t="s">
        <v>4</v>
      </c>
      <c r="C78" s="8" t="s">
        <v>534</v>
      </c>
      <c r="D78" s="3" t="s">
        <v>924</v>
      </c>
      <c r="E78" s="3">
        <v>3.5</v>
      </c>
      <c r="F78" s="3">
        <v>9.1</v>
      </c>
      <c r="G78" s="29">
        <f t="shared" si="1"/>
        <v>43.65</v>
      </c>
      <c r="H78" s="3">
        <v>20</v>
      </c>
      <c r="I78" s="3">
        <v>873</v>
      </c>
      <c r="J78" s="3">
        <v>34</v>
      </c>
      <c r="K78" s="3">
        <v>88</v>
      </c>
      <c r="L78" s="3">
        <v>215</v>
      </c>
      <c r="M78" s="3">
        <v>0</v>
      </c>
      <c r="N78" s="3">
        <v>0</v>
      </c>
      <c r="O78" s="3">
        <v>0</v>
      </c>
      <c r="P78" s="3">
        <v>25</v>
      </c>
      <c r="Q78" s="9" t="s">
        <v>906</v>
      </c>
      <c r="R78" s="3">
        <v>4.5999999999999996</v>
      </c>
    </row>
    <row r="79" spans="1:18" x14ac:dyDescent="0.3">
      <c r="A79" s="4" t="s">
        <v>870</v>
      </c>
      <c r="B79" s="3" t="s">
        <v>4</v>
      </c>
      <c r="C79" s="8" t="s">
        <v>534</v>
      </c>
      <c r="D79" s="3" t="s">
        <v>924</v>
      </c>
      <c r="E79" s="3">
        <v>6.2</v>
      </c>
      <c r="F79" s="3">
        <v>8.6</v>
      </c>
      <c r="G79" s="29">
        <f t="shared" si="1"/>
        <v>23.196721311475411</v>
      </c>
      <c r="H79" s="3">
        <v>61</v>
      </c>
      <c r="I79" s="3">
        <v>1415</v>
      </c>
      <c r="J79" s="3">
        <v>43</v>
      </c>
      <c r="K79" s="3">
        <v>146</v>
      </c>
      <c r="L79" s="3">
        <v>378</v>
      </c>
      <c r="M79" s="3">
        <v>5</v>
      </c>
      <c r="N79" s="3">
        <v>1</v>
      </c>
      <c r="O79" s="3">
        <v>2</v>
      </c>
      <c r="P79" s="3">
        <v>25</v>
      </c>
      <c r="Q79" s="9" t="s">
        <v>906</v>
      </c>
      <c r="R79" s="3">
        <v>1.6</v>
      </c>
    </row>
    <row r="80" spans="1:18" x14ac:dyDescent="0.3">
      <c r="A80" s="4" t="s">
        <v>869</v>
      </c>
      <c r="B80" s="3" t="s">
        <v>4</v>
      </c>
      <c r="C80" s="8" t="s">
        <v>534</v>
      </c>
      <c r="D80" s="3" t="s">
        <v>925</v>
      </c>
      <c r="E80" s="3">
        <v>5.7</v>
      </c>
      <c r="F80" s="3">
        <v>6.6</v>
      </c>
      <c r="G80" s="29">
        <f t="shared" si="1"/>
        <v>19.413043478260871</v>
      </c>
      <c r="H80" s="3">
        <v>46</v>
      </c>
      <c r="I80" s="3">
        <v>893</v>
      </c>
      <c r="J80" s="3">
        <v>34</v>
      </c>
      <c r="K80" s="3">
        <v>56</v>
      </c>
      <c r="L80" s="3">
        <v>336</v>
      </c>
      <c r="M80" s="3">
        <v>5</v>
      </c>
      <c r="N80" s="3">
        <v>0</v>
      </c>
      <c r="O80" s="3">
        <v>1</v>
      </c>
      <c r="P80" s="3">
        <v>24</v>
      </c>
      <c r="Q80" s="9" t="s">
        <v>906</v>
      </c>
      <c r="R80" s="3">
        <v>0</v>
      </c>
    </row>
    <row r="81" spans="1:18" x14ac:dyDescent="0.3">
      <c r="A81" s="4" t="s">
        <v>872</v>
      </c>
      <c r="B81" s="3" t="s">
        <v>4</v>
      </c>
      <c r="C81" s="8" t="s">
        <v>534</v>
      </c>
      <c r="D81" s="3" t="s">
        <v>924</v>
      </c>
      <c r="E81" s="3">
        <v>5.5</v>
      </c>
      <c r="F81" s="3">
        <v>9.4</v>
      </c>
      <c r="G81" s="29">
        <f t="shared" si="1"/>
        <v>28.333333333333332</v>
      </c>
      <c r="H81" s="3">
        <v>18</v>
      </c>
      <c r="I81" s="3">
        <v>510</v>
      </c>
      <c r="J81" s="3">
        <v>19</v>
      </c>
      <c r="K81" s="3">
        <v>51</v>
      </c>
      <c r="L81" s="3">
        <v>116</v>
      </c>
      <c r="M81" s="3">
        <v>2</v>
      </c>
      <c r="N81" s="3">
        <v>0</v>
      </c>
      <c r="O81" s="3">
        <v>1</v>
      </c>
      <c r="P81" s="3">
        <v>28</v>
      </c>
      <c r="Q81" s="9" t="s">
        <v>906</v>
      </c>
      <c r="R81" s="3">
        <v>0.19</v>
      </c>
    </row>
    <row r="82" spans="1:18" x14ac:dyDescent="0.3">
      <c r="A82" s="4" t="s">
        <v>874</v>
      </c>
      <c r="B82" s="3" t="s">
        <v>4</v>
      </c>
      <c r="C82" s="8" t="s">
        <v>534</v>
      </c>
      <c r="D82" s="3" t="s">
        <v>925</v>
      </c>
      <c r="E82" s="3">
        <v>5</v>
      </c>
      <c r="F82" s="3">
        <v>8.6999999999999993</v>
      </c>
      <c r="G82" s="29">
        <f t="shared" si="1"/>
        <v>28.94736842105263</v>
      </c>
      <c r="H82" s="3">
        <v>19</v>
      </c>
      <c r="I82" s="3">
        <v>550</v>
      </c>
      <c r="J82" s="3">
        <v>21</v>
      </c>
      <c r="K82" s="3">
        <v>41</v>
      </c>
      <c r="L82" s="3">
        <v>98</v>
      </c>
      <c r="M82" s="3">
        <v>2</v>
      </c>
      <c r="N82" s="3">
        <v>0</v>
      </c>
      <c r="O82" s="3">
        <v>0</v>
      </c>
      <c r="P82" s="3">
        <v>35</v>
      </c>
      <c r="Q82" s="9" t="s">
        <v>906</v>
      </c>
      <c r="R82" s="3">
        <v>0.19</v>
      </c>
    </row>
    <row r="83" spans="1:18" x14ac:dyDescent="0.3">
      <c r="A83" s="4" t="s">
        <v>958</v>
      </c>
      <c r="B83" s="5" t="s">
        <v>4</v>
      </c>
      <c r="C83" s="3" t="s">
        <v>546</v>
      </c>
      <c r="D83" s="3" t="s">
        <v>924</v>
      </c>
      <c r="E83" s="3">
        <v>5.7</v>
      </c>
      <c r="F83" s="3">
        <v>7.9</v>
      </c>
      <c r="G83" s="29">
        <f t="shared" si="1"/>
        <v>23.244444444444444</v>
      </c>
      <c r="H83" s="3">
        <v>45</v>
      </c>
      <c r="I83" s="3">
        <v>1046</v>
      </c>
      <c r="J83" s="3">
        <v>46</v>
      </c>
      <c r="K83" s="3">
        <v>90</v>
      </c>
      <c r="L83" s="3">
        <v>334</v>
      </c>
      <c r="M83" s="3">
        <v>4</v>
      </c>
      <c r="N83" s="3">
        <v>0</v>
      </c>
      <c r="O83" s="3">
        <v>1</v>
      </c>
      <c r="P83" s="3">
        <v>30</v>
      </c>
      <c r="Q83" s="9" t="s">
        <v>906</v>
      </c>
      <c r="R83" s="3">
        <v>0</v>
      </c>
    </row>
    <row r="84" spans="1:18" x14ac:dyDescent="0.3">
      <c r="A84" s="4" t="s">
        <v>638</v>
      </c>
      <c r="B84" s="5" t="s">
        <v>4</v>
      </c>
      <c r="C84" s="3" t="s">
        <v>546</v>
      </c>
      <c r="D84" s="22" t="s">
        <v>924</v>
      </c>
      <c r="E84" s="3">
        <v>5.4</v>
      </c>
      <c r="F84" s="3">
        <v>8.4</v>
      </c>
      <c r="G84" s="29">
        <f t="shared" si="1"/>
        <v>25.647058823529413</v>
      </c>
      <c r="H84" s="3">
        <v>17</v>
      </c>
      <c r="I84" s="3">
        <v>436</v>
      </c>
      <c r="J84" s="3">
        <v>13</v>
      </c>
      <c r="K84" s="3">
        <v>49</v>
      </c>
      <c r="L84" s="3">
        <v>125</v>
      </c>
      <c r="M84" s="3">
        <v>2</v>
      </c>
      <c r="N84" s="3">
        <v>0</v>
      </c>
      <c r="O84" s="3">
        <v>0</v>
      </c>
      <c r="P84" s="3">
        <v>28</v>
      </c>
      <c r="Q84" s="9" t="s">
        <v>906</v>
      </c>
      <c r="R84" s="3">
        <v>0.1</v>
      </c>
    </row>
    <row r="85" spans="1:18" x14ac:dyDescent="0.3">
      <c r="A85" s="4" t="s">
        <v>960</v>
      </c>
      <c r="B85" s="5" t="s">
        <v>4</v>
      </c>
      <c r="C85" s="3" t="s">
        <v>961</v>
      </c>
      <c r="D85" s="3" t="s">
        <v>924</v>
      </c>
      <c r="E85" s="3">
        <v>5.5</v>
      </c>
      <c r="F85" s="3">
        <v>8.5</v>
      </c>
      <c r="G85" s="29">
        <f t="shared" si="1"/>
        <v>26.017241379310345</v>
      </c>
      <c r="H85" s="3">
        <v>174</v>
      </c>
      <c r="I85" s="3">
        <v>4527</v>
      </c>
      <c r="J85" s="3">
        <v>150</v>
      </c>
      <c r="K85" s="3">
        <v>400</v>
      </c>
      <c r="L85" s="3">
        <v>1117</v>
      </c>
      <c r="M85" s="3">
        <v>12</v>
      </c>
      <c r="N85" s="3">
        <v>5</v>
      </c>
      <c r="O85" s="3">
        <v>2</v>
      </c>
      <c r="P85" s="3">
        <v>30</v>
      </c>
      <c r="Q85" s="9" t="s">
        <v>906</v>
      </c>
      <c r="R85" s="3">
        <v>0.84</v>
      </c>
    </row>
    <row r="86" spans="1:18" x14ac:dyDescent="0.3">
      <c r="A86" s="4" t="s">
        <v>962</v>
      </c>
      <c r="B86" s="3" t="s">
        <v>4</v>
      </c>
      <c r="C86" s="3" t="s">
        <v>961</v>
      </c>
      <c r="D86" s="3" t="s">
        <v>924</v>
      </c>
      <c r="E86" s="3">
        <v>6.2</v>
      </c>
      <c r="F86" s="3">
        <v>7.2</v>
      </c>
      <c r="G86" s="29">
        <f t="shared" si="1"/>
        <v>19.328244274809162</v>
      </c>
      <c r="H86" s="3">
        <v>131</v>
      </c>
      <c r="I86" s="3">
        <v>2532</v>
      </c>
      <c r="J86" s="3">
        <v>63</v>
      </c>
      <c r="K86" s="3">
        <v>259</v>
      </c>
      <c r="L86" s="3">
        <v>935</v>
      </c>
      <c r="M86" s="3">
        <v>14</v>
      </c>
      <c r="N86" s="3">
        <v>3</v>
      </c>
      <c r="O86" s="3">
        <v>6</v>
      </c>
      <c r="P86" s="3">
        <v>25</v>
      </c>
      <c r="Q86" s="9" t="s">
        <v>906</v>
      </c>
      <c r="R86" s="3">
        <v>2</v>
      </c>
    </row>
    <row r="87" spans="1:18" x14ac:dyDescent="0.3">
      <c r="A87" s="4" t="s">
        <v>963</v>
      </c>
      <c r="B87" s="3" t="s">
        <v>4</v>
      </c>
      <c r="C87" s="3" t="s">
        <v>961</v>
      </c>
      <c r="D87" s="3" t="s">
        <v>925</v>
      </c>
      <c r="E87" s="3">
        <v>4.5999999999999996</v>
      </c>
      <c r="F87" s="3">
        <v>6.7</v>
      </c>
      <c r="G87" s="29">
        <f t="shared" si="1"/>
        <v>24.104477611940297</v>
      </c>
      <c r="H87" s="3">
        <v>201</v>
      </c>
      <c r="I87" s="3">
        <v>4845</v>
      </c>
      <c r="J87" s="3">
        <v>132</v>
      </c>
      <c r="K87" s="3">
        <v>349</v>
      </c>
      <c r="L87" s="3">
        <v>1781</v>
      </c>
      <c r="M87" s="3">
        <v>15</v>
      </c>
      <c r="N87" s="3">
        <v>1</v>
      </c>
      <c r="O87" s="3">
        <v>14</v>
      </c>
      <c r="P87" s="3">
        <v>25</v>
      </c>
      <c r="Q87" s="9" t="s">
        <v>906</v>
      </c>
      <c r="R87" s="3">
        <v>0</v>
      </c>
    </row>
    <row r="88" spans="1:18" x14ac:dyDescent="0.3">
      <c r="A88" s="4" t="s">
        <v>1003</v>
      </c>
      <c r="B88" s="3" t="s">
        <v>4</v>
      </c>
      <c r="C88" s="3" t="s">
        <v>961</v>
      </c>
      <c r="D88" s="3" t="s">
        <v>925</v>
      </c>
      <c r="E88" s="3">
        <v>4.2</v>
      </c>
      <c r="F88" s="3">
        <v>7.5</v>
      </c>
      <c r="G88" s="29">
        <f t="shared" si="1"/>
        <v>29.85</v>
      </c>
      <c r="H88" s="3">
        <v>20</v>
      </c>
      <c r="I88" s="3">
        <v>597</v>
      </c>
      <c r="J88" s="3">
        <v>29</v>
      </c>
      <c r="K88" s="3">
        <v>34</v>
      </c>
      <c r="L88" s="3">
        <v>206</v>
      </c>
      <c r="M88" s="3">
        <v>1</v>
      </c>
      <c r="N88" s="3">
        <v>0</v>
      </c>
      <c r="O88" s="3">
        <v>0</v>
      </c>
      <c r="P88" s="3">
        <v>20</v>
      </c>
      <c r="Q88" s="9" t="s">
        <v>906</v>
      </c>
      <c r="R88" s="3">
        <v>10</v>
      </c>
    </row>
    <row r="89" spans="1:18" x14ac:dyDescent="0.3">
      <c r="A89" s="4" t="s">
        <v>1014</v>
      </c>
      <c r="B89" s="3" t="s">
        <v>4</v>
      </c>
      <c r="C89" s="3" t="s">
        <v>557</v>
      </c>
      <c r="D89" s="3" t="s">
        <v>924</v>
      </c>
      <c r="E89" s="3">
        <v>4.8</v>
      </c>
      <c r="F89" s="3">
        <v>8.9</v>
      </c>
      <c r="G89" s="29">
        <f t="shared" si="1"/>
        <v>30.818181818181817</v>
      </c>
      <c r="H89" s="3">
        <v>11</v>
      </c>
      <c r="I89" s="3">
        <v>339</v>
      </c>
      <c r="J89" s="3">
        <v>16</v>
      </c>
      <c r="K89" s="3">
        <v>30</v>
      </c>
      <c r="L89" s="3">
        <v>84</v>
      </c>
      <c r="M89" s="3">
        <v>1</v>
      </c>
      <c r="N89" s="3">
        <v>0</v>
      </c>
      <c r="O89" s="3">
        <v>0</v>
      </c>
      <c r="P89" s="3">
        <v>26</v>
      </c>
      <c r="Q89" s="9" t="s">
        <v>906</v>
      </c>
      <c r="R89" s="3">
        <v>0</v>
      </c>
    </row>
    <row r="90" spans="1:18" x14ac:dyDescent="0.3">
      <c r="A90" s="4" t="s">
        <v>642</v>
      </c>
      <c r="B90" s="3" t="s">
        <v>4</v>
      </c>
      <c r="C90" s="3" t="s">
        <v>557</v>
      </c>
      <c r="D90" s="3" t="s">
        <v>924</v>
      </c>
      <c r="E90" s="3">
        <v>4.8</v>
      </c>
      <c r="F90" s="3">
        <v>7.9</v>
      </c>
      <c r="G90" s="29">
        <f t="shared" si="1"/>
        <v>27.695652173913043</v>
      </c>
      <c r="H90" s="3">
        <v>23</v>
      </c>
      <c r="I90" s="3">
        <v>637</v>
      </c>
      <c r="J90" s="3">
        <v>15</v>
      </c>
      <c r="K90" s="3">
        <v>64</v>
      </c>
      <c r="L90" s="3">
        <v>191</v>
      </c>
      <c r="M90" s="3">
        <v>1</v>
      </c>
      <c r="N90" s="3">
        <v>0</v>
      </c>
      <c r="O90" s="3">
        <v>2</v>
      </c>
      <c r="P90" s="3">
        <v>29</v>
      </c>
      <c r="Q90" s="9" t="s">
        <v>906</v>
      </c>
      <c r="R90" s="3">
        <v>0</v>
      </c>
    </row>
    <row r="91" spans="1:18" x14ac:dyDescent="0.3">
      <c r="A91" s="4" t="s">
        <v>964</v>
      </c>
      <c r="B91" s="3" t="s">
        <v>4</v>
      </c>
      <c r="C91" s="3" t="s">
        <v>557</v>
      </c>
      <c r="D91" s="3" t="s">
        <v>925</v>
      </c>
      <c r="E91" s="3">
        <v>6.8</v>
      </c>
      <c r="F91" s="3">
        <v>8</v>
      </c>
      <c r="G91" s="29">
        <f t="shared" si="1"/>
        <v>19.545454545454547</v>
      </c>
      <c r="H91" s="3">
        <v>11</v>
      </c>
      <c r="I91" s="3">
        <v>215</v>
      </c>
      <c r="J91" s="3">
        <v>0</v>
      </c>
      <c r="K91" s="3">
        <v>1</v>
      </c>
      <c r="L91" s="3">
        <v>12</v>
      </c>
      <c r="M91" s="3">
        <v>2</v>
      </c>
      <c r="N91" s="3">
        <v>0</v>
      </c>
      <c r="O91" s="3">
        <v>0</v>
      </c>
      <c r="P91" s="3">
        <v>30</v>
      </c>
      <c r="Q91" s="9" t="s">
        <v>906</v>
      </c>
      <c r="R91" s="3">
        <v>0</v>
      </c>
    </row>
    <row r="92" spans="1:18" x14ac:dyDescent="0.3">
      <c r="A92" s="4" t="s">
        <v>895</v>
      </c>
      <c r="B92" s="3" t="s">
        <v>4</v>
      </c>
      <c r="C92" s="3" t="s">
        <v>568</v>
      </c>
      <c r="D92" s="3" t="s">
        <v>925</v>
      </c>
      <c r="E92" s="3">
        <v>6</v>
      </c>
      <c r="F92" s="3">
        <v>7.1</v>
      </c>
      <c r="G92" s="29">
        <f t="shared" si="1"/>
        <v>19.689655172413794</v>
      </c>
      <c r="H92" s="3">
        <v>29</v>
      </c>
      <c r="I92" s="3">
        <v>571</v>
      </c>
      <c r="J92" s="3">
        <v>20</v>
      </c>
      <c r="K92" s="3">
        <v>41</v>
      </c>
      <c r="L92" s="3">
        <v>195</v>
      </c>
      <c r="M92" s="3">
        <v>3</v>
      </c>
      <c r="N92" s="3">
        <v>0</v>
      </c>
      <c r="O92" s="3">
        <v>1</v>
      </c>
      <c r="P92" s="3">
        <v>22</v>
      </c>
      <c r="Q92" s="9" t="s">
        <v>906</v>
      </c>
      <c r="R92" s="3">
        <v>0</v>
      </c>
    </row>
    <row r="93" spans="1:18" x14ac:dyDescent="0.3">
      <c r="A93" s="4" t="s">
        <v>629</v>
      </c>
      <c r="B93" s="3" t="s">
        <v>4</v>
      </c>
      <c r="C93" s="3" t="s">
        <v>568</v>
      </c>
      <c r="D93" s="3" t="s">
        <v>926</v>
      </c>
      <c r="E93" s="3">
        <v>3.9</v>
      </c>
      <c r="F93" s="3">
        <v>9.4</v>
      </c>
      <c r="G93" s="29">
        <f t="shared" si="1"/>
        <v>40.724137931034484</v>
      </c>
      <c r="H93" s="3">
        <v>29</v>
      </c>
      <c r="I93" s="3">
        <v>1181</v>
      </c>
      <c r="J93" s="3">
        <v>39</v>
      </c>
      <c r="K93" s="3">
        <v>103</v>
      </c>
      <c r="L93" s="3">
        <v>242</v>
      </c>
      <c r="M93" s="3">
        <v>2</v>
      </c>
      <c r="N93" s="3">
        <v>0</v>
      </c>
      <c r="O93" s="3">
        <v>0</v>
      </c>
      <c r="P93" s="3">
        <v>33</v>
      </c>
      <c r="Q93" s="9" t="s">
        <v>906</v>
      </c>
      <c r="R93" s="3">
        <v>0</v>
      </c>
    </row>
    <row r="94" spans="1:18" x14ac:dyDescent="0.3">
      <c r="A94" s="4" t="s">
        <v>1015</v>
      </c>
      <c r="B94" s="3" t="s">
        <v>4</v>
      </c>
      <c r="C94" s="3" t="s">
        <v>568</v>
      </c>
      <c r="D94" s="3" t="s">
        <v>924</v>
      </c>
      <c r="E94" s="3">
        <v>5.2</v>
      </c>
      <c r="F94" s="3">
        <v>8.6999999999999993</v>
      </c>
      <c r="G94" s="29">
        <f t="shared" si="1"/>
        <v>28.047058823529412</v>
      </c>
      <c r="H94" s="3">
        <v>85</v>
      </c>
      <c r="I94" s="3">
        <v>2384</v>
      </c>
      <c r="J94" s="3">
        <v>91</v>
      </c>
      <c r="K94" s="3">
        <v>222</v>
      </c>
      <c r="L94" s="3">
        <v>622</v>
      </c>
      <c r="M94" s="3">
        <v>6</v>
      </c>
      <c r="N94" s="3">
        <v>0</v>
      </c>
      <c r="O94" s="3">
        <v>4</v>
      </c>
      <c r="P94" s="3">
        <v>33</v>
      </c>
      <c r="Q94" s="9" t="s">
        <v>906</v>
      </c>
      <c r="R94" s="3">
        <v>0.37</v>
      </c>
    </row>
    <row r="95" spans="1:18" x14ac:dyDescent="0.3">
      <c r="A95" s="4" t="s">
        <v>965</v>
      </c>
      <c r="B95" s="3" t="s">
        <v>4</v>
      </c>
      <c r="C95" s="3" t="s">
        <v>568</v>
      </c>
      <c r="D95" s="3" t="s">
        <v>925</v>
      </c>
      <c r="E95" s="3">
        <v>5.2</v>
      </c>
      <c r="F95" s="3">
        <v>7.6</v>
      </c>
      <c r="G95" s="29">
        <f t="shared" si="1"/>
        <v>24.518518518518519</v>
      </c>
      <c r="H95" s="3">
        <v>135</v>
      </c>
      <c r="I95" s="3">
        <v>3310</v>
      </c>
      <c r="J95" s="3">
        <v>87</v>
      </c>
      <c r="K95" s="3">
        <v>158</v>
      </c>
      <c r="L95" s="3">
        <v>600</v>
      </c>
      <c r="M95" s="3">
        <v>15</v>
      </c>
      <c r="N95" s="3">
        <v>2</v>
      </c>
      <c r="O95" s="3">
        <v>1</v>
      </c>
      <c r="P95" s="3">
        <v>41</v>
      </c>
      <c r="Q95" s="9" t="s">
        <v>906</v>
      </c>
      <c r="R95" s="3">
        <v>0.1</v>
      </c>
    </row>
    <row r="96" spans="1:18" x14ac:dyDescent="0.3">
      <c r="A96" s="4" t="s">
        <v>966</v>
      </c>
      <c r="B96" s="3" t="s">
        <v>4</v>
      </c>
      <c r="C96" s="3" t="s">
        <v>578</v>
      </c>
      <c r="D96" s="3" t="s">
        <v>924</v>
      </c>
      <c r="E96" s="3">
        <v>5.4</v>
      </c>
      <c r="F96" s="3">
        <v>8.9</v>
      </c>
      <c r="G96" s="29">
        <f t="shared" si="1"/>
        <v>27.432432432432432</v>
      </c>
      <c r="H96" s="3">
        <v>37</v>
      </c>
      <c r="I96" s="3">
        <v>1015</v>
      </c>
      <c r="J96" s="3">
        <v>51</v>
      </c>
      <c r="K96" s="3">
        <v>76</v>
      </c>
      <c r="L96" s="3">
        <v>246</v>
      </c>
      <c r="M96" s="3">
        <v>5</v>
      </c>
      <c r="N96" s="3">
        <v>0</v>
      </c>
      <c r="O96" s="3">
        <v>0</v>
      </c>
      <c r="P96" s="3">
        <v>37</v>
      </c>
      <c r="Q96" s="9" t="s">
        <v>908</v>
      </c>
      <c r="R96" s="3">
        <v>9.1999999999999998E-2</v>
      </c>
    </row>
    <row r="97" spans="1:18" x14ac:dyDescent="0.3">
      <c r="A97" s="4" t="s">
        <v>633</v>
      </c>
      <c r="B97" s="3" t="s">
        <v>4</v>
      </c>
      <c r="C97" s="3" t="s">
        <v>578</v>
      </c>
      <c r="D97" s="3" t="s">
        <v>924</v>
      </c>
      <c r="E97" s="3">
        <v>5.3</v>
      </c>
      <c r="F97" s="3">
        <v>9.1999999999999993</v>
      </c>
      <c r="G97" s="29">
        <f t="shared" si="1"/>
        <v>29.027522935779817</v>
      </c>
      <c r="H97" s="3">
        <v>109</v>
      </c>
      <c r="I97" s="3">
        <v>3164</v>
      </c>
      <c r="J97" s="3">
        <v>99</v>
      </c>
      <c r="K97" s="3">
        <v>231</v>
      </c>
      <c r="L97" s="3">
        <v>576</v>
      </c>
      <c r="M97" s="3">
        <v>8</v>
      </c>
      <c r="N97" s="3">
        <v>0</v>
      </c>
      <c r="O97" s="3">
        <v>0</v>
      </c>
      <c r="P97" s="3">
        <v>35</v>
      </c>
      <c r="Q97" s="9" t="s">
        <v>906</v>
      </c>
      <c r="R97" s="3">
        <v>0.68</v>
      </c>
    </row>
    <row r="98" spans="1:18" x14ac:dyDescent="0.3">
      <c r="A98" s="4" t="s">
        <v>967</v>
      </c>
      <c r="B98" s="3" t="s">
        <v>4</v>
      </c>
      <c r="C98" s="3" t="s">
        <v>578</v>
      </c>
      <c r="D98" s="3" t="s">
        <v>925</v>
      </c>
      <c r="E98" s="3">
        <v>6</v>
      </c>
      <c r="F98" s="3">
        <v>7</v>
      </c>
      <c r="G98" s="29">
        <f t="shared" si="1"/>
        <v>19.511111111111113</v>
      </c>
      <c r="H98" s="3">
        <v>45</v>
      </c>
      <c r="I98" s="3">
        <v>878</v>
      </c>
      <c r="J98" s="3">
        <v>34</v>
      </c>
      <c r="K98" s="3">
        <v>58</v>
      </c>
      <c r="L98" s="3">
        <v>290</v>
      </c>
      <c r="M98" s="3">
        <v>5</v>
      </c>
      <c r="N98" s="3">
        <v>0</v>
      </c>
      <c r="O98" s="3">
        <v>1</v>
      </c>
      <c r="P98" s="3">
        <v>32</v>
      </c>
      <c r="Q98" s="9" t="s">
        <v>908</v>
      </c>
      <c r="R98" s="3">
        <v>0.68</v>
      </c>
    </row>
    <row r="99" spans="1:18" x14ac:dyDescent="0.3">
      <c r="A99" s="4" t="s">
        <v>574</v>
      </c>
      <c r="B99" s="3" t="s">
        <v>4</v>
      </c>
      <c r="C99" s="3" t="s">
        <v>578</v>
      </c>
      <c r="D99" s="3" t="s">
        <v>925</v>
      </c>
      <c r="E99" s="3">
        <v>5.6</v>
      </c>
      <c r="F99" s="3">
        <v>7</v>
      </c>
      <c r="G99" s="29">
        <f t="shared" si="1"/>
        <v>20.866666666666667</v>
      </c>
      <c r="H99" s="3">
        <v>15</v>
      </c>
      <c r="I99" s="3">
        <v>313</v>
      </c>
      <c r="J99" s="3">
        <v>11</v>
      </c>
      <c r="K99" s="3">
        <v>19</v>
      </c>
      <c r="L99" s="3">
        <v>79</v>
      </c>
      <c r="M99" s="3">
        <v>1</v>
      </c>
      <c r="N99" s="3">
        <v>0</v>
      </c>
      <c r="O99" s="3">
        <v>0</v>
      </c>
      <c r="P99" s="3">
        <v>33</v>
      </c>
      <c r="Q99" s="9" t="s">
        <v>908</v>
      </c>
      <c r="R99" s="3">
        <v>0.37</v>
      </c>
    </row>
    <row r="100" spans="1:18" x14ac:dyDescent="0.3">
      <c r="A100" s="4" t="s">
        <v>968</v>
      </c>
      <c r="B100" s="3" t="s">
        <v>4</v>
      </c>
      <c r="C100" s="3" t="s">
        <v>974</v>
      </c>
      <c r="D100" s="3" t="s">
        <v>924</v>
      </c>
      <c r="E100" s="3">
        <v>4.8</v>
      </c>
      <c r="F100" s="3">
        <v>8.1</v>
      </c>
      <c r="G100" s="29">
        <f t="shared" si="1"/>
        <v>28.446153846153845</v>
      </c>
      <c r="H100" s="3">
        <v>65</v>
      </c>
      <c r="I100" s="3">
        <v>1849</v>
      </c>
      <c r="J100" s="3">
        <v>61</v>
      </c>
      <c r="K100" s="3">
        <v>171</v>
      </c>
      <c r="L100" s="3">
        <v>511</v>
      </c>
      <c r="M100" s="3">
        <v>7</v>
      </c>
      <c r="N100" s="3">
        <v>0</v>
      </c>
      <c r="O100" s="3">
        <v>2</v>
      </c>
      <c r="P100" s="3">
        <v>30</v>
      </c>
      <c r="Q100" s="9" t="s">
        <v>906</v>
      </c>
      <c r="R100" s="3">
        <v>9.1999999999999993</v>
      </c>
    </row>
    <row r="101" spans="1:18" x14ac:dyDescent="0.3">
      <c r="A101" s="4" t="s">
        <v>969</v>
      </c>
      <c r="B101" s="3" t="s">
        <v>4</v>
      </c>
      <c r="C101" s="3" t="s">
        <v>974</v>
      </c>
      <c r="D101" s="3" t="s">
        <v>924</v>
      </c>
      <c r="E101" s="3">
        <v>6.3</v>
      </c>
      <c r="F101" s="3">
        <v>7.9</v>
      </c>
      <c r="G101" s="29">
        <f t="shared" si="1"/>
        <v>21.15126050420168</v>
      </c>
      <c r="H101" s="3">
        <v>119</v>
      </c>
      <c r="I101" s="3">
        <v>2517</v>
      </c>
      <c r="J101" s="3">
        <v>95</v>
      </c>
      <c r="K101" s="3">
        <v>254</v>
      </c>
      <c r="L101" s="3">
        <v>849</v>
      </c>
      <c r="M101" s="3">
        <v>11</v>
      </c>
      <c r="N101" s="3">
        <v>1</v>
      </c>
      <c r="O101" s="3">
        <v>2</v>
      </c>
      <c r="P101" s="3">
        <v>30</v>
      </c>
      <c r="Q101" s="9" t="s">
        <v>906</v>
      </c>
      <c r="R101" s="3">
        <v>0</v>
      </c>
    </row>
    <row r="102" spans="1:18" x14ac:dyDescent="0.3">
      <c r="A102" s="4" t="s">
        <v>970</v>
      </c>
      <c r="B102" s="3" t="s">
        <v>4</v>
      </c>
      <c r="C102" s="3" t="s">
        <v>974</v>
      </c>
      <c r="D102" s="3" t="s">
        <v>924</v>
      </c>
      <c r="E102" s="3">
        <v>6.2</v>
      </c>
      <c r="F102" s="3">
        <v>8.6</v>
      </c>
      <c r="G102" s="29">
        <f t="shared" si="1"/>
        <v>23.245283018867923</v>
      </c>
      <c r="H102" s="3">
        <v>53</v>
      </c>
      <c r="I102" s="3">
        <v>1232</v>
      </c>
      <c r="J102" s="3">
        <v>45</v>
      </c>
      <c r="K102" s="3">
        <v>127</v>
      </c>
      <c r="L102" s="3">
        <v>344</v>
      </c>
      <c r="M102" s="3">
        <v>5</v>
      </c>
      <c r="N102" s="3">
        <v>0</v>
      </c>
      <c r="O102" s="3">
        <v>1</v>
      </c>
      <c r="P102" s="3">
        <v>26</v>
      </c>
      <c r="Q102" s="9" t="s">
        <v>906</v>
      </c>
      <c r="R102" s="3">
        <v>0</v>
      </c>
    </row>
    <row r="103" spans="1:18" x14ac:dyDescent="0.3">
      <c r="A103" s="4" t="s">
        <v>971</v>
      </c>
      <c r="B103" s="3" t="s">
        <v>4</v>
      </c>
      <c r="C103" s="3" t="s">
        <v>974</v>
      </c>
      <c r="D103" s="3" t="s">
        <v>925</v>
      </c>
      <c r="E103" s="3">
        <v>4.5999999999999996</v>
      </c>
      <c r="F103" s="3">
        <v>7.2</v>
      </c>
      <c r="G103" s="29">
        <f t="shared" si="1"/>
        <v>26.078651685393258</v>
      </c>
      <c r="H103" s="3">
        <v>89</v>
      </c>
      <c r="I103" s="3">
        <v>2321</v>
      </c>
      <c r="J103" s="3">
        <v>107</v>
      </c>
      <c r="K103" s="3">
        <v>191</v>
      </c>
      <c r="L103" s="3">
        <v>881</v>
      </c>
      <c r="M103" s="3">
        <v>7</v>
      </c>
      <c r="N103" s="3">
        <v>0</v>
      </c>
      <c r="O103" s="3">
        <v>3</v>
      </c>
      <c r="P103" s="3">
        <v>29</v>
      </c>
      <c r="Q103" s="9" t="s">
        <v>906</v>
      </c>
      <c r="R103" s="3">
        <v>0</v>
      </c>
    </row>
    <row r="104" spans="1:18" x14ac:dyDescent="0.3">
      <c r="A104" s="4" t="s">
        <v>972</v>
      </c>
      <c r="B104" s="3" t="s">
        <v>4</v>
      </c>
      <c r="C104" s="3" t="s">
        <v>974</v>
      </c>
      <c r="D104" s="3" t="s">
        <v>925</v>
      </c>
      <c r="E104" s="3">
        <v>6.7</v>
      </c>
      <c r="F104" s="3">
        <v>8.3000000000000007</v>
      </c>
      <c r="G104" s="29">
        <f t="shared" si="1"/>
        <v>20.714285714285715</v>
      </c>
      <c r="H104" s="3">
        <v>49</v>
      </c>
      <c r="I104" s="3">
        <v>1015</v>
      </c>
      <c r="J104" s="3">
        <v>58</v>
      </c>
      <c r="K104" s="3">
        <v>66</v>
      </c>
      <c r="L104" s="3">
        <v>268</v>
      </c>
      <c r="M104" s="3">
        <v>7</v>
      </c>
      <c r="N104" s="3">
        <v>0</v>
      </c>
      <c r="O104" s="3">
        <v>1</v>
      </c>
      <c r="P104" s="3">
        <v>23</v>
      </c>
      <c r="Q104" s="9" t="s">
        <v>906</v>
      </c>
      <c r="R104" s="3">
        <v>0.99</v>
      </c>
    </row>
    <row r="105" spans="1:18" x14ac:dyDescent="0.3">
      <c r="A105" s="4" t="s">
        <v>973</v>
      </c>
      <c r="B105" s="3" t="s">
        <v>4</v>
      </c>
      <c r="C105" s="3" t="s">
        <v>589</v>
      </c>
      <c r="D105" s="3" t="s">
        <v>925</v>
      </c>
      <c r="E105" s="3">
        <v>5.7</v>
      </c>
      <c r="F105" s="3">
        <v>6.8</v>
      </c>
      <c r="G105" s="29">
        <f t="shared" si="1"/>
        <v>19.831250000000001</v>
      </c>
      <c r="H105" s="3">
        <v>160</v>
      </c>
      <c r="I105" s="3">
        <v>3173</v>
      </c>
      <c r="J105" s="3">
        <v>119</v>
      </c>
      <c r="K105" s="3">
        <v>171</v>
      </c>
      <c r="L105" s="3">
        <v>991</v>
      </c>
      <c r="M105" s="3">
        <v>14</v>
      </c>
      <c r="N105" s="3">
        <v>0</v>
      </c>
      <c r="O105" s="3">
        <v>8</v>
      </c>
      <c r="P105" s="3">
        <v>25</v>
      </c>
      <c r="Q105" s="9" t="s">
        <v>906</v>
      </c>
      <c r="R105" s="3">
        <v>0.1</v>
      </c>
    </row>
    <row r="106" spans="1:18" x14ac:dyDescent="0.3">
      <c r="A106" s="4" t="s">
        <v>975</v>
      </c>
      <c r="B106" s="3" t="s">
        <v>4</v>
      </c>
      <c r="C106" s="3" t="s">
        <v>589</v>
      </c>
      <c r="D106" s="3" t="s">
        <v>925</v>
      </c>
      <c r="E106" s="3">
        <v>7</v>
      </c>
      <c r="F106" s="3">
        <v>6.7</v>
      </c>
      <c r="G106" s="29">
        <f t="shared" si="1"/>
        <v>16</v>
      </c>
      <c r="H106" s="3">
        <v>18</v>
      </c>
      <c r="I106" s="3">
        <v>288</v>
      </c>
      <c r="J106" s="3">
        <v>14</v>
      </c>
      <c r="K106" s="3">
        <v>21</v>
      </c>
      <c r="L106" s="3">
        <v>114</v>
      </c>
      <c r="M106" s="3">
        <v>3</v>
      </c>
      <c r="N106" s="3">
        <v>0</v>
      </c>
      <c r="O106" s="3">
        <v>0</v>
      </c>
      <c r="P106" s="3">
        <v>24</v>
      </c>
      <c r="Q106" s="9" t="s">
        <v>906</v>
      </c>
      <c r="R106" s="3">
        <v>0.1</v>
      </c>
    </row>
    <row r="107" spans="1:18" x14ac:dyDescent="0.3">
      <c r="A107" s="4" t="s">
        <v>976</v>
      </c>
      <c r="B107" s="3" t="s">
        <v>4</v>
      </c>
      <c r="C107" s="3" t="s">
        <v>589</v>
      </c>
      <c r="D107" s="3" t="s">
        <v>926</v>
      </c>
      <c r="E107" s="3">
        <v>6.4</v>
      </c>
      <c r="F107" s="3">
        <v>8</v>
      </c>
      <c r="G107" s="29">
        <f t="shared" si="1"/>
        <v>21.068965517241381</v>
      </c>
      <c r="H107" s="3">
        <v>29</v>
      </c>
      <c r="I107" s="3">
        <v>611</v>
      </c>
      <c r="J107" s="3">
        <v>28</v>
      </c>
      <c r="K107" s="3">
        <v>40</v>
      </c>
      <c r="L107" s="3">
        <v>177</v>
      </c>
      <c r="M107" s="3">
        <v>3</v>
      </c>
      <c r="N107" s="3">
        <v>1</v>
      </c>
      <c r="O107" s="3">
        <v>2</v>
      </c>
      <c r="P107" s="3">
        <v>30</v>
      </c>
      <c r="Q107" s="9" t="s">
        <v>906</v>
      </c>
      <c r="R107" s="3">
        <v>0.15</v>
      </c>
    </row>
    <row r="108" spans="1:18" x14ac:dyDescent="0.3">
      <c r="A108" s="4" t="s">
        <v>977</v>
      </c>
      <c r="B108" s="3" t="s">
        <v>4</v>
      </c>
      <c r="C108" s="3" t="s">
        <v>589</v>
      </c>
      <c r="D108" s="3" t="s">
        <v>924</v>
      </c>
      <c r="E108" s="3">
        <v>6.5</v>
      </c>
      <c r="F108" s="3">
        <v>8.1</v>
      </c>
      <c r="G108" s="29">
        <f t="shared" si="1"/>
        <v>20.807692307692307</v>
      </c>
      <c r="H108" s="3">
        <v>26</v>
      </c>
      <c r="I108" s="3">
        <v>541</v>
      </c>
      <c r="J108" s="3">
        <v>29</v>
      </c>
      <c r="K108" s="3">
        <v>32</v>
      </c>
      <c r="L108" s="3">
        <v>164</v>
      </c>
      <c r="M108" s="3">
        <v>2</v>
      </c>
      <c r="N108" s="3">
        <v>0</v>
      </c>
      <c r="O108" s="3">
        <v>0</v>
      </c>
      <c r="P108" s="3">
        <v>34</v>
      </c>
      <c r="Q108" s="9" t="s">
        <v>906</v>
      </c>
      <c r="R108" s="3">
        <v>0.2</v>
      </c>
    </row>
    <row r="109" spans="1:18" x14ac:dyDescent="0.3">
      <c r="A109" s="10"/>
    </row>
  </sheetData>
  <autoFilter ref="A1:Q28" xr:uid="{8AC955E5-665B-4D2F-BCEB-D83890BE6B5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E7AB-EF4F-45D1-8E8A-8430B1D779E0}">
  <dimension ref="A1:S58"/>
  <sheetViews>
    <sheetView topLeftCell="A32" workbookViewId="0">
      <pane xSplit="1" topLeftCell="L1" activePane="topRight" state="frozen"/>
      <selection pane="topRight" activeCell="S56" sqref="S56:S58"/>
    </sheetView>
  </sheetViews>
  <sheetFormatPr defaultRowHeight="14.4" x14ac:dyDescent="0.3"/>
  <cols>
    <col min="1" max="1" width="26.33203125" customWidth="1"/>
    <col min="2" max="2" width="13.33203125" customWidth="1"/>
    <col min="3" max="3" width="12.5546875" customWidth="1"/>
    <col min="4" max="4" width="14.109375" customWidth="1"/>
    <col min="5" max="5" width="16.44140625" bestFit="1" customWidth="1"/>
    <col min="6" max="6" width="17.33203125" bestFit="1" customWidth="1"/>
    <col min="7" max="7" width="13.88671875" bestFit="1" customWidth="1"/>
    <col min="8" max="8" width="10" bestFit="1" customWidth="1"/>
    <col min="9" max="9" width="10.109375" bestFit="1" customWidth="1"/>
    <col min="10" max="10" width="10.5546875" bestFit="1" customWidth="1"/>
    <col min="11" max="11" width="24.6640625" bestFit="1" customWidth="1"/>
    <col min="12" max="12" width="20" bestFit="1" customWidth="1"/>
    <col min="13" max="13" width="23.88671875" bestFit="1" customWidth="1"/>
    <col min="14" max="16" width="23.88671875" customWidth="1"/>
    <col min="17" max="17" width="14.5546875" bestFit="1" customWidth="1"/>
    <col min="18" max="18" width="18.6640625" bestFit="1" customWidth="1"/>
    <col min="19" max="19" width="29.77734375" style="3" customWidth="1"/>
  </cols>
  <sheetData>
    <row r="1" spans="1:19" x14ac:dyDescent="0.3">
      <c r="A1" s="1" t="s">
        <v>1</v>
      </c>
      <c r="B1" s="16" t="s">
        <v>2</v>
      </c>
      <c r="C1" s="1" t="s">
        <v>70</v>
      </c>
      <c r="D1" s="1" t="s">
        <v>109</v>
      </c>
      <c r="E1" s="4" t="s">
        <v>896</v>
      </c>
      <c r="F1" s="4" t="s">
        <v>897</v>
      </c>
      <c r="G1" s="4" t="s">
        <v>898</v>
      </c>
      <c r="H1" s="4" t="s">
        <v>899</v>
      </c>
      <c r="I1" s="4" t="s">
        <v>900</v>
      </c>
      <c r="J1" s="4" t="s">
        <v>901</v>
      </c>
      <c r="K1" s="4" t="s">
        <v>902</v>
      </c>
      <c r="L1" s="4" t="s">
        <v>907</v>
      </c>
      <c r="M1" s="4" t="s">
        <v>903</v>
      </c>
      <c r="N1" s="4" t="s">
        <v>917</v>
      </c>
      <c r="O1" s="4" t="s">
        <v>916</v>
      </c>
      <c r="P1" s="4" t="s">
        <v>918</v>
      </c>
      <c r="Q1" s="4" t="s">
        <v>904</v>
      </c>
      <c r="R1" s="27" t="s">
        <v>905</v>
      </c>
      <c r="S1" s="4" t="s">
        <v>1011</v>
      </c>
    </row>
    <row r="2" spans="1:19" x14ac:dyDescent="0.3">
      <c r="A2" s="4" t="s">
        <v>12</v>
      </c>
      <c r="B2" s="3" t="s">
        <v>4</v>
      </c>
      <c r="C2" s="3" t="s">
        <v>71</v>
      </c>
      <c r="D2" s="3" t="s">
        <v>915</v>
      </c>
      <c r="E2" s="3">
        <v>137.65</v>
      </c>
      <c r="F2" s="3">
        <v>2998</v>
      </c>
      <c r="G2" s="3">
        <v>29.11</v>
      </c>
      <c r="H2" s="3">
        <v>134</v>
      </c>
      <c r="I2" s="3">
        <v>288</v>
      </c>
      <c r="J2" s="3">
        <v>2178</v>
      </c>
      <c r="K2" s="3">
        <v>823</v>
      </c>
      <c r="L2" s="3">
        <v>1</v>
      </c>
      <c r="M2" s="3">
        <v>17</v>
      </c>
      <c r="N2" s="3">
        <v>58</v>
      </c>
      <c r="O2" s="3">
        <v>6</v>
      </c>
      <c r="P2" s="3">
        <v>8</v>
      </c>
      <c r="Q2" s="3">
        <v>27</v>
      </c>
      <c r="R2" s="9" t="s">
        <v>906</v>
      </c>
      <c r="S2" s="3">
        <v>11.25</v>
      </c>
    </row>
    <row r="3" spans="1:19" x14ac:dyDescent="0.3">
      <c r="A3" s="4" t="s">
        <v>16</v>
      </c>
      <c r="B3" s="6" t="s">
        <v>4</v>
      </c>
      <c r="C3" s="3" t="s">
        <v>71</v>
      </c>
      <c r="D3" s="3" t="s">
        <v>915</v>
      </c>
      <c r="E3" s="3">
        <v>139.05000000000001</v>
      </c>
      <c r="F3" s="3">
        <v>4704</v>
      </c>
      <c r="G3" s="3">
        <v>30.75</v>
      </c>
      <c r="H3" s="3">
        <v>219</v>
      </c>
      <c r="I3" s="3">
        <v>379</v>
      </c>
      <c r="J3" s="3">
        <v>3370</v>
      </c>
      <c r="K3" s="3">
        <v>1153</v>
      </c>
      <c r="L3" s="3">
        <v>3</v>
      </c>
      <c r="M3" s="3">
        <v>26</v>
      </c>
      <c r="N3" s="3">
        <v>85</v>
      </c>
      <c r="O3" s="3">
        <v>18</v>
      </c>
      <c r="P3" s="3">
        <v>6</v>
      </c>
      <c r="Q3" s="3">
        <v>31</v>
      </c>
      <c r="R3" s="9" t="s">
        <v>906</v>
      </c>
      <c r="S3" s="3">
        <v>18</v>
      </c>
    </row>
    <row r="4" spans="1:19" x14ac:dyDescent="0.3">
      <c r="A4" s="4" t="s">
        <v>60</v>
      </c>
      <c r="B4" s="6" t="s">
        <v>108</v>
      </c>
      <c r="C4" s="3" t="s">
        <v>71</v>
      </c>
      <c r="D4" s="3" t="s">
        <v>915</v>
      </c>
      <c r="E4" s="3">
        <v>151.5</v>
      </c>
      <c r="F4" s="3">
        <v>661</v>
      </c>
      <c r="G4" s="3">
        <v>25.42</v>
      </c>
      <c r="H4" s="3">
        <v>27</v>
      </c>
      <c r="I4" s="3">
        <v>65</v>
      </c>
      <c r="J4" s="3">
        <v>431</v>
      </c>
      <c r="K4" s="3">
        <v>137</v>
      </c>
      <c r="L4" s="3">
        <v>0</v>
      </c>
      <c r="M4" s="3">
        <v>3</v>
      </c>
      <c r="N4" s="3">
        <v>9</v>
      </c>
      <c r="O4" s="3">
        <v>0</v>
      </c>
      <c r="P4" s="3">
        <v>1</v>
      </c>
      <c r="Q4" s="3">
        <v>23</v>
      </c>
      <c r="R4" s="9" t="s">
        <v>908</v>
      </c>
      <c r="S4" s="3">
        <v>4</v>
      </c>
    </row>
    <row r="5" spans="1:19" x14ac:dyDescent="0.3">
      <c r="A5" s="4" t="s">
        <v>47</v>
      </c>
      <c r="B5" s="6" t="s">
        <v>4</v>
      </c>
      <c r="C5" s="3" t="s">
        <v>71</v>
      </c>
      <c r="D5" s="3" t="s">
        <v>915</v>
      </c>
      <c r="E5" s="3">
        <v>153.85</v>
      </c>
      <c r="F5" s="3">
        <v>680</v>
      </c>
      <c r="G5" s="3">
        <v>28.33</v>
      </c>
      <c r="H5" s="3">
        <v>38</v>
      </c>
      <c r="I5" s="3">
        <v>51</v>
      </c>
      <c r="J5" s="3">
        <v>442</v>
      </c>
      <c r="K5" s="3">
        <v>134</v>
      </c>
      <c r="L5" s="3">
        <v>0</v>
      </c>
      <c r="M5" s="3">
        <v>4</v>
      </c>
      <c r="N5" s="3">
        <v>19</v>
      </c>
      <c r="O5" s="3">
        <v>0</v>
      </c>
      <c r="P5" s="3">
        <v>1</v>
      </c>
      <c r="Q5" s="3">
        <v>25</v>
      </c>
      <c r="R5" s="9" t="s">
        <v>906</v>
      </c>
      <c r="S5" s="3">
        <v>14</v>
      </c>
    </row>
    <row r="6" spans="1:19" x14ac:dyDescent="0.3">
      <c r="A6" s="4" t="s">
        <v>913</v>
      </c>
      <c r="B6" s="6" t="s">
        <v>108</v>
      </c>
      <c r="C6" s="3" t="s">
        <v>71</v>
      </c>
      <c r="D6" s="3" t="s">
        <v>915</v>
      </c>
      <c r="E6" s="3">
        <v>137.4</v>
      </c>
      <c r="F6" s="3">
        <v>279</v>
      </c>
      <c r="G6" s="3">
        <v>25.36</v>
      </c>
      <c r="H6" s="3">
        <v>20</v>
      </c>
      <c r="I6" s="3">
        <v>17</v>
      </c>
      <c r="J6" s="3">
        <v>203</v>
      </c>
      <c r="K6" s="3">
        <v>81</v>
      </c>
      <c r="L6" s="3">
        <v>0</v>
      </c>
      <c r="M6" s="3">
        <v>2</v>
      </c>
      <c r="N6" s="3">
        <v>6</v>
      </c>
      <c r="O6" s="3">
        <v>2</v>
      </c>
      <c r="P6" s="3">
        <v>1</v>
      </c>
      <c r="Q6" s="3">
        <v>23</v>
      </c>
      <c r="R6" s="9" t="s">
        <v>908</v>
      </c>
      <c r="S6" s="3">
        <v>0.65</v>
      </c>
    </row>
    <row r="7" spans="1:19" x14ac:dyDescent="0.3">
      <c r="A7" s="4" t="s">
        <v>8</v>
      </c>
      <c r="B7" s="3" t="s">
        <v>4</v>
      </c>
      <c r="C7" s="3" t="s">
        <v>71</v>
      </c>
      <c r="D7" s="3" t="s">
        <v>915</v>
      </c>
      <c r="E7" s="3">
        <v>147.5</v>
      </c>
      <c r="F7" s="3">
        <v>3566</v>
      </c>
      <c r="G7" s="3">
        <v>34.159999999999997</v>
      </c>
      <c r="H7" s="3">
        <v>170</v>
      </c>
      <c r="I7" s="3">
        <v>321</v>
      </c>
      <c r="J7" s="3">
        <v>2417</v>
      </c>
      <c r="K7" s="3">
        <v>820</v>
      </c>
      <c r="L7" s="3">
        <v>2</v>
      </c>
      <c r="M7" s="3">
        <v>19</v>
      </c>
      <c r="N7" s="3">
        <v>79</v>
      </c>
      <c r="O7" s="3">
        <v>23</v>
      </c>
      <c r="P7" s="3">
        <v>2</v>
      </c>
      <c r="Q7" s="3">
        <v>28</v>
      </c>
      <c r="R7" s="9" t="s">
        <v>906</v>
      </c>
      <c r="S7" s="3">
        <v>27</v>
      </c>
    </row>
    <row r="8" spans="1:19" x14ac:dyDescent="0.3">
      <c r="A8" s="4" t="s">
        <v>7</v>
      </c>
      <c r="B8" s="6" t="s">
        <v>4</v>
      </c>
      <c r="C8" s="3" t="s">
        <v>71</v>
      </c>
      <c r="D8" s="3" t="s">
        <v>915</v>
      </c>
      <c r="E8" s="3">
        <v>136.30000000000001</v>
      </c>
      <c r="F8" s="3">
        <v>5225</v>
      </c>
      <c r="G8" s="3">
        <v>46.21</v>
      </c>
      <c r="H8" s="3">
        <v>208</v>
      </c>
      <c r="I8" s="3">
        <v>452</v>
      </c>
      <c r="J8" s="3">
        <v>3833</v>
      </c>
      <c r="K8" s="3">
        <v>1274</v>
      </c>
      <c r="L8" s="3">
        <v>5</v>
      </c>
      <c r="M8" s="3">
        <v>40</v>
      </c>
      <c r="N8" s="3">
        <v>80</v>
      </c>
      <c r="O8" s="3">
        <v>7</v>
      </c>
      <c r="P8" s="3">
        <v>2</v>
      </c>
      <c r="Q8" s="3">
        <v>33</v>
      </c>
      <c r="R8" s="9" t="s">
        <v>906</v>
      </c>
      <c r="S8" s="3">
        <v>14</v>
      </c>
    </row>
    <row r="9" spans="1:19" x14ac:dyDescent="0.3">
      <c r="A9" s="4" t="s">
        <v>103</v>
      </c>
      <c r="B9" s="3" t="s">
        <v>4</v>
      </c>
      <c r="C9" s="3" t="s">
        <v>71</v>
      </c>
      <c r="D9" s="3" t="s">
        <v>915</v>
      </c>
      <c r="E9" s="3">
        <v>157.05000000000001</v>
      </c>
      <c r="F9" s="3">
        <v>991</v>
      </c>
      <c r="G9" s="3">
        <v>25.41</v>
      </c>
      <c r="H9" s="3">
        <v>62</v>
      </c>
      <c r="I9" s="3">
        <v>77</v>
      </c>
      <c r="J9" s="3">
        <v>631</v>
      </c>
      <c r="K9" s="3">
        <v>224</v>
      </c>
      <c r="L9" s="3">
        <v>0</v>
      </c>
      <c r="M9" s="3">
        <v>1</v>
      </c>
      <c r="N9" s="3">
        <v>44</v>
      </c>
      <c r="O9" s="3">
        <v>5</v>
      </c>
      <c r="P9" s="3">
        <v>5</v>
      </c>
      <c r="Q9" s="3">
        <v>32</v>
      </c>
      <c r="R9" s="9" t="s">
        <v>906</v>
      </c>
      <c r="S9" s="3">
        <v>11</v>
      </c>
    </row>
    <row r="10" spans="1:19" x14ac:dyDescent="0.3">
      <c r="A10" s="4" t="s">
        <v>914</v>
      </c>
      <c r="B10" s="6" t="s">
        <v>108</v>
      </c>
      <c r="C10" s="3" t="s">
        <v>71</v>
      </c>
      <c r="D10" s="3" t="s">
        <v>915</v>
      </c>
      <c r="E10" s="3">
        <v>152.76</v>
      </c>
      <c r="F10" s="3">
        <v>1355</v>
      </c>
      <c r="G10" s="3">
        <v>26.57</v>
      </c>
      <c r="H10" s="3">
        <v>71</v>
      </c>
      <c r="I10" s="3">
        <v>141</v>
      </c>
      <c r="J10" s="3">
        <v>810</v>
      </c>
      <c r="K10" s="3">
        <v>326</v>
      </c>
      <c r="L10" s="3">
        <v>1</v>
      </c>
      <c r="M10" s="3">
        <v>6</v>
      </c>
      <c r="N10" s="3">
        <v>6</v>
      </c>
      <c r="O10" s="3">
        <v>1</v>
      </c>
      <c r="P10" s="3">
        <v>0</v>
      </c>
      <c r="Q10" s="3">
        <v>25</v>
      </c>
      <c r="R10" s="9" t="s">
        <v>908</v>
      </c>
      <c r="S10" s="3">
        <v>4</v>
      </c>
    </row>
    <row r="11" spans="1:19" x14ac:dyDescent="0.3">
      <c r="A11" s="4" t="s">
        <v>28</v>
      </c>
      <c r="B11" s="6" t="s">
        <v>108</v>
      </c>
      <c r="C11" s="3" t="s">
        <v>71</v>
      </c>
      <c r="D11" s="3" t="s">
        <v>915</v>
      </c>
      <c r="E11" s="3">
        <v>119.1</v>
      </c>
      <c r="F11" s="3">
        <v>318</v>
      </c>
      <c r="G11" s="3">
        <v>19.87</v>
      </c>
      <c r="H11" s="3">
        <v>14</v>
      </c>
      <c r="I11" s="3">
        <v>26</v>
      </c>
      <c r="J11" s="3">
        <v>267</v>
      </c>
      <c r="K11" s="3">
        <v>114</v>
      </c>
      <c r="L11" s="3">
        <v>0</v>
      </c>
      <c r="M11" s="3">
        <v>1</v>
      </c>
      <c r="N11" s="3">
        <v>18</v>
      </c>
      <c r="O11" s="3">
        <v>0</v>
      </c>
      <c r="P11" s="3">
        <v>1</v>
      </c>
      <c r="Q11" s="3">
        <v>26</v>
      </c>
      <c r="R11" s="9" t="s">
        <v>908</v>
      </c>
      <c r="S11" s="3">
        <v>0.3</v>
      </c>
    </row>
    <row r="12" spans="1:19" x14ac:dyDescent="0.3">
      <c r="A12" s="4" t="s">
        <v>48</v>
      </c>
      <c r="B12" s="6" t="s">
        <v>108</v>
      </c>
      <c r="C12" s="3" t="s">
        <v>71</v>
      </c>
      <c r="D12" s="3" t="s">
        <v>915</v>
      </c>
      <c r="E12" s="3">
        <v>122.1</v>
      </c>
      <c r="F12" s="3">
        <v>199</v>
      </c>
      <c r="G12" s="3">
        <v>28.42</v>
      </c>
      <c r="H12" s="3">
        <v>8</v>
      </c>
      <c r="I12" s="3">
        <v>12</v>
      </c>
      <c r="J12" s="3">
        <v>163</v>
      </c>
      <c r="K12" s="3">
        <v>58</v>
      </c>
      <c r="L12" s="3">
        <v>0</v>
      </c>
      <c r="M12" s="3">
        <v>1</v>
      </c>
      <c r="N12" s="3">
        <v>5</v>
      </c>
      <c r="O12" s="3">
        <v>1</v>
      </c>
      <c r="P12" s="3">
        <v>0</v>
      </c>
      <c r="Q12" s="3">
        <v>32</v>
      </c>
      <c r="R12" s="9" t="s">
        <v>908</v>
      </c>
      <c r="S12" s="3">
        <v>0</v>
      </c>
    </row>
    <row r="13" spans="1:19" x14ac:dyDescent="0.3">
      <c r="A13" s="4" t="s">
        <v>77</v>
      </c>
      <c r="B13" s="6" t="s">
        <v>108</v>
      </c>
      <c r="C13" s="3" t="s">
        <v>71</v>
      </c>
      <c r="D13" s="3" t="s">
        <v>915</v>
      </c>
      <c r="E13" s="3">
        <v>108.8</v>
      </c>
      <c r="F13" s="3">
        <v>676</v>
      </c>
      <c r="G13" s="3">
        <v>28.6</v>
      </c>
      <c r="H13" s="3">
        <v>27</v>
      </c>
      <c r="I13" s="3">
        <v>54</v>
      </c>
      <c r="J13" s="3">
        <v>565</v>
      </c>
      <c r="K13" s="3">
        <v>246</v>
      </c>
      <c r="L13" s="3">
        <v>0</v>
      </c>
      <c r="M13" s="3">
        <v>4</v>
      </c>
      <c r="N13" s="3">
        <v>9</v>
      </c>
      <c r="O13" s="3">
        <v>7</v>
      </c>
      <c r="P13" s="3">
        <v>2</v>
      </c>
      <c r="Q13" s="3">
        <v>21</v>
      </c>
      <c r="R13" s="9" t="s">
        <v>908</v>
      </c>
      <c r="S13" s="3">
        <v>0.65</v>
      </c>
    </row>
    <row r="14" spans="1:19" x14ac:dyDescent="0.3">
      <c r="A14" s="4" t="s">
        <v>89</v>
      </c>
      <c r="B14" s="6" t="s">
        <v>108</v>
      </c>
      <c r="C14" s="3" t="s">
        <v>71</v>
      </c>
      <c r="D14" s="3" t="s">
        <v>915</v>
      </c>
      <c r="E14" s="3">
        <v>130.97999999999999</v>
      </c>
      <c r="F14" s="3">
        <v>706</v>
      </c>
      <c r="G14" s="3">
        <v>30.69</v>
      </c>
      <c r="H14" s="3">
        <v>22</v>
      </c>
      <c r="I14" s="3">
        <v>77</v>
      </c>
      <c r="J14" s="3">
        <v>539</v>
      </c>
      <c r="K14" s="3">
        <v>250</v>
      </c>
      <c r="L14" s="3">
        <v>0</v>
      </c>
      <c r="M14" s="3">
        <v>6</v>
      </c>
      <c r="N14" s="3">
        <v>15</v>
      </c>
      <c r="O14" s="3">
        <v>6</v>
      </c>
      <c r="P14" s="3">
        <v>0</v>
      </c>
      <c r="Q14" s="3">
        <v>24</v>
      </c>
      <c r="R14" s="9" t="s">
        <v>908</v>
      </c>
      <c r="S14" s="3">
        <v>0.3</v>
      </c>
    </row>
    <row r="15" spans="1:19" x14ac:dyDescent="0.3">
      <c r="A15" s="4" t="s">
        <v>55</v>
      </c>
      <c r="B15" s="6" t="s">
        <v>108</v>
      </c>
      <c r="C15" s="3" t="s">
        <v>71</v>
      </c>
      <c r="D15" s="3" t="s">
        <v>915</v>
      </c>
      <c r="E15" s="3">
        <v>104.44</v>
      </c>
      <c r="F15" s="3">
        <v>611</v>
      </c>
      <c r="G15" s="3">
        <v>24.44</v>
      </c>
      <c r="H15" s="3">
        <v>8</v>
      </c>
      <c r="I15" s="3">
        <v>50</v>
      </c>
      <c r="J15" s="3">
        <v>585</v>
      </c>
      <c r="K15" s="3">
        <v>235</v>
      </c>
      <c r="L15" s="3">
        <v>0</v>
      </c>
      <c r="M15" s="3">
        <v>2</v>
      </c>
      <c r="N15" s="3">
        <v>16</v>
      </c>
      <c r="O15" s="3">
        <v>1</v>
      </c>
      <c r="P15" s="3">
        <v>0</v>
      </c>
      <c r="Q15" s="3">
        <v>31</v>
      </c>
      <c r="R15" s="9" t="s">
        <v>908</v>
      </c>
      <c r="S15" s="3">
        <v>0</v>
      </c>
    </row>
    <row r="16" spans="1:19" x14ac:dyDescent="0.3">
      <c r="A16" s="4" t="s">
        <v>919</v>
      </c>
      <c r="B16" s="6" t="s">
        <v>4</v>
      </c>
      <c r="C16" s="3" t="s">
        <v>71</v>
      </c>
      <c r="D16" s="3" t="s">
        <v>915</v>
      </c>
      <c r="E16" s="3">
        <v>137.9</v>
      </c>
      <c r="F16" s="3">
        <v>5439</v>
      </c>
      <c r="G16" s="3">
        <v>38.299999999999997</v>
      </c>
      <c r="H16" s="3">
        <v>264</v>
      </c>
      <c r="I16" s="3">
        <v>375</v>
      </c>
      <c r="J16" s="3">
        <v>3957</v>
      </c>
      <c r="K16" s="3">
        <v>935</v>
      </c>
      <c r="L16" s="3">
        <v>0</v>
      </c>
      <c r="M16" s="3">
        <v>24</v>
      </c>
      <c r="N16" s="3">
        <v>158</v>
      </c>
      <c r="O16" s="3">
        <v>47</v>
      </c>
      <c r="P16" s="3">
        <v>6</v>
      </c>
      <c r="Q16" s="3">
        <v>44</v>
      </c>
      <c r="R16" s="9" t="s">
        <v>908</v>
      </c>
      <c r="S16" s="3">
        <v>4</v>
      </c>
    </row>
    <row r="17" spans="1:19" x14ac:dyDescent="0.3">
      <c r="A17" s="4" t="s">
        <v>219</v>
      </c>
      <c r="B17" s="6" t="s">
        <v>4</v>
      </c>
      <c r="C17" s="3" t="s">
        <v>300</v>
      </c>
      <c r="D17" s="3" t="s">
        <v>915</v>
      </c>
      <c r="E17" s="3">
        <v>161.80000000000001</v>
      </c>
      <c r="F17" s="3">
        <v>267</v>
      </c>
      <c r="G17" s="3">
        <v>30.89</v>
      </c>
      <c r="H17" s="3">
        <v>16</v>
      </c>
      <c r="I17" s="3">
        <v>24</v>
      </c>
      <c r="J17" s="3">
        <v>165</v>
      </c>
      <c r="K17" s="3">
        <v>62</v>
      </c>
      <c r="L17" s="3">
        <v>0</v>
      </c>
      <c r="M17" s="3">
        <v>1</v>
      </c>
      <c r="N17" s="3">
        <v>9</v>
      </c>
      <c r="O17" s="3">
        <v>1</v>
      </c>
      <c r="P17" s="3">
        <v>0</v>
      </c>
      <c r="Q17" s="3">
        <v>30</v>
      </c>
      <c r="R17" s="9" t="s">
        <v>906</v>
      </c>
      <c r="S17" s="3">
        <v>8.6</v>
      </c>
    </row>
    <row r="18" spans="1:19" x14ac:dyDescent="0.3">
      <c r="A18" s="4" t="s">
        <v>950</v>
      </c>
      <c r="B18" s="6" t="s">
        <v>4</v>
      </c>
      <c r="C18" s="3" t="s">
        <v>300</v>
      </c>
      <c r="D18" s="3" t="s">
        <v>915</v>
      </c>
      <c r="E18" s="3">
        <v>139.69999999999999</v>
      </c>
      <c r="F18" s="3">
        <v>4995</v>
      </c>
      <c r="G18" s="3">
        <v>34.11</v>
      </c>
      <c r="H18" s="3">
        <v>241</v>
      </c>
      <c r="I18" s="3">
        <v>399</v>
      </c>
      <c r="J18" s="3">
        <v>3575</v>
      </c>
      <c r="K18" s="3">
        <v>1228</v>
      </c>
      <c r="L18" s="3">
        <v>3</v>
      </c>
      <c r="M18" s="3">
        <v>32</v>
      </c>
      <c r="N18" s="3">
        <v>92</v>
      </c>
      <c r="O18" s="3">
        <v>16</v>
      </c>
      <c r="P18" s="3">
        <v>2</v>
      </c>
      <c r="Q18" s="3">
        <v>31</v>
      </c>
      <c r="R18" s="9" t="s">
        <v>906</v>
      </c>
      <c r="S18" s="3">
        <v>0.33</v>
      </c>
    </row>
    <row r="19" spans="1:19" x14ac:dyDescent="0.3">
      <c r="A19" s="4" t="s">
        <v>263</v>
      </c>
      <c r="B19" s="6" t="s">
        <v>4</v>
      </c>
      <c r="C19" s="3" t="s">
        <v>300</v>
      </c>
      <c r="D19" s="3" t="s">
        <v>915</v>
      </c>
      <c r="E19" s="3">
        <v>142.19999999999999</v>
      </c>
      <c r="F19" s="3">
        <v>4001</v>
      </c>
      <c r="G19" s="3">
        <v>28</v>
      </c>
      <c r="H19" s="3">
        <v>180</v>
      </c>
      <c r="I19" s="3">
        <v>335</v>
      </c>
      <c r="J19" s="3">
        <v>2814</v>
      </c>
      <c r="K19" s="3">
        <v>940</v>
      </c>
      <c r="L19" s="3">
        <v>1</v>
      </c>
      <c r="M19" s="3">
        <v>21</v>
      </c>
      <c r="N19" s="3">
        <v>86</v>
      </c>
      <c r="O19" s="3">
        <v>9</v>
      </c>
      <c r="P19" s="3">
        <v>0</v>
      </c>
      <c r="Q19" s="3">
        <v>38</v>
      </c>
      <c r="R19" s="9" t="s">
        <v>906</v>
      </c>
      <c r="S19" s="3">
        <v>1.19</v>
      </c>
    </row>
    <row r="20" spans="1:19" x14ac:dyDescent="0.3">
      <c r="A20" s="4" t="s">
        <v>221</v>
      </c>
      <c r="B20" s="6" t="s">
        <v>4</v>
      </c>
      <c r="C20" s="3" t="s">
        <v>300</v>
      </c>
      <c r="D20" s="3" t="s">
        <v>915</v>
      </c>
      <c r="E20" s="3">
        <v>141.6</v>
      </c>
      <c r="F20" s="3">
        <v>3330</v>
      </c>
      <c r="G20" s="3">
        <v>26.13</v>
      </c>
      <c r="H20" s="3">
        <v>115</v>
      </c>
      <c r="I20" s="3">
        <v>305</v>
      </c>
      <c r="J20" s="3">
        <v>2351</v>
      </c>
      <c r="K20" s="3">
        <v>750</v>
      </c>
      <c r="L20" s="3">
        <v>1</v>
      </c>
      <c r="M20" s="3">
        <v>20</v>
      </c>
      <c r="N20" s="3">
        <v>68</v>
      </c>
      <c r="O20" s="3">
        <v>11</v>
      </c>
      <c r="P20" s="3">
        <v>5</v>
      </c>
      <c r="Q20" s="3">
        <v>38</v>
      </c>
      <c r="R20" s="9" t="s">
        <v>906</v>
      </c>
      <c r="S20" s="3">
        <v>0</v>
      </c>
    </row>
    <row r="21" spans="1:19" x14ac:dyDescent="0.3">
      <c r="A21" s="4" t="s">
        <v>218</v>
      </c>
      <c r="B21" s="6" t="s">
        <v>4</v>
      </c>
      <c r="C21" s="3" t="s">
        <v>300</v>
      </c>
      <c r="D21" s="3" t="s">
        <v>915</v>
      </c>
      <c r="E21" s="3">
        <v>133.9</v>
      </c>
      <c r="F21" s="3">
        <v>2206</v>
      </c>
      <c r="G21" s="3">
        <v>33.659999999999997</v>
      </c>
      <c r="H21" s="3">
        <v>61</v>
      </c>
      <c r="I21" s="3">
        <v>222</v>
      </c>
      <c r="J21" s="3">
        <v>1647</v>
      </c>
      <c r="K21" s="3">
        <v>565</v>
      </c>
      <c r="L21" s="3">
        <v>2</v>
      </c>
      <c r="M21" s="3">
        <v>14</v>
      </c>
      <c r="N21" s="3">
        <v>60</v>
      </c>
      <c r="O21" s="3">
        <v>7</v>
      </c>
      <c r="P21" s="3">
        <v>6</v>
      </c>
      <c r="Q21" s="3">
        <v>34</v>
      </c>
      <c r="R21" s="9" t="s">
        <v>906</v>
      </c>
      <c r="S21" s="3">
        <v>0</v>
      </c>
    </row>
    <row r="22" spans="1:19" x14ac:dyDescent="0.3">
      <c r="A22" s="4" t="s">
        <v>268</v>
      </c>
      <c r="B22" s="6" t="s">
        <v>4</v>
      </c>
      <c r="C22" s="3" t="s">
        <v>300</v>
      </c>
      <c r="D22" s="3" t="s">
        <v>915</v>
      </c>
      <c r="E22" s="3">
        <v>120.6</v>
      </c>
      <c r="F22" s="3">
        <v>573</v>
      </c>
      <c r="G22" s="3">
        <v>19</v>
      </c>
      <c r="H22" s="3">
        <v>8</v>
      </c>
      <c r="I22" s="3">
        <v>51</v>
      </c>
      <c r="J22" s="3">
        <v>475</v>
      </c>
      <c r="K22" s="3">
        <v>141</v>
      </c>
      <c r="L22" s="3">
        <v>0</v>
      </c>
      <c r="M22" s="3">
        <v>1</v>
      </c>
      <c r="N22" s="3">
        <v>32</v>
      </c>
      <c r="O22" s="3">
        <v>3</v>
      </c>
      <c r="P22" s="3">
        <v>5</v>
      </c>
      <c r="Q22" s="3">
        <v>30</v>
      </c>
      <c r="R22" s="9" t="s">
        <v>908</v>
      </c>
      <c r="S22" s="3">
        <v>0</v>
      </c>
    </row>
    <row r="23" spans="1:19" x14ac:dyDescent="0.3">
      <c r="A23" s="4" t="s">
        <v>113</v>
      </c>
      <c r="B23" s="6" t="s">
        <v>4</v>
      </c>
      <c r="C23" s="3" t="s">
        <v>208</v>
      </c>
      <c r="D23" s="3" t="s">
        <v>915</v>
      </c>
      <c r="E23" s="3">
        <v>149.4</v>
      </c>
      <c r="F23" s="3">
        <v>4121</v>
      </c>
      <c r="G23" s="29">
        <f>F23/119</f>
        <v>34.630252100840337</v>
      </c>
      <c r="H23" s="3">
        <v>185</v>
      </c>
      <c r="I23" s="3">
        <v>407</v>
      </c>
      <c r="J23" s="3">
        <v>2759</v>
      </c>
      <c r="K23" s="3">
        <v>1002</v>
      </c>
      <c r="L23" s="3">
        <v>7</v>
      </c>
      <c r="M23" s="3">
        <v>24</v>
      </c>
      <c r="N23" s="3">
        <v>63</v>
      </c>
      <c r="O23" s="3">
        <v>3</v>
      </c>
      <c r="P23" s="3">
        <v>1</v>
      </c>
      <c r="Q23" s="3">
        <v>35</v>
      </c>
      <c r="R23" s="9" t="s">
        <v>906</v>
      </c>
      <c r="S23" s="3">
        <v>15.75</v>
      </c>
    </row>
    <row r="24" spans="1:19" x14ac:dyDescent="0.3">
      <c r="A24" s="4" t="s">
        <v>1016</v>
      </c>
      <c r="B24" s="6" t="s">
        <v>4</v>
      </c>
      <c r="C24" s="3" t="s">
        <v>208</v>
      </c>
      <c r="D24" s="3" t="s">
        <v>915</v>
      </c>
      <c r="E24" s="3">
        <v>175.7</v>
      </c>
      <c r="F24" s="3">
        <v>1056</v>
      </c>
      <c r="G24" s="29">
        <f>F24/34</f>
        <v>31.058823529411764</v>
      </c>
      <c r="H24" s="3">
        <v>56</v>
      </c>
      <c r="I24" s="3">
        <v>122</v>
      </c>
      <c r="J24" s="3">
        <v>601</v>
      </c>
      <c r="K24" s="3">
        <v>216</v>
      </c>
      <c r="L24" s="3">
        <v>0</v>
      </c>
      <c r="M24" s="3">
        <v>10</v>
      </c>
      <c r="N24" s="3">
        <v>26</v>
      </c>
      <c r="O24" s="3">
        <v>0</v>
      </c>
      <c r="P24" s="3">
        <v>3</v>
      </c>
      <c r="Q24" s="3">
        <v>29</v>
      </c>
      <c r="R24" s="9" t="s">
        <v>906</v>
      </c>
      <c r="S24" s="3">
        <v>11.5</v>
      </c>
    </row>
    <row r="25" spans="1:19" x14ac:dyDescent="0.3">
      <c r="A25" s="4" t="s">
        <v>158</v>
      </c>
      <c r="B25" s="6" t="s">
        <v>4</v>
      </c>
      <c r="C25" s="3" t="s">
        <v>208</v>
      </c>
      <c r="D25" s="3" t="s">
        <v>915</v>
      </c>
      <c r="E25" s="3">
        <v>129.6</v>
      </c>
      <c r="F25" s="3">
        <v>503</v>
      </c>
      <c r="G25" s="29">
        <f>F25/27</f>
        <v>18.62962962962963</v>
      </c>
      <c r="H25" s="3">
        <v>20</v>
      </c>
      <c r="I25" s="3">
        <v>40</v>
      </c>
      <c r="J25" s="3">
        <v>388</v>
      </c>
      <c r="K25" s="3">
        <v>139</v>
      </c>
      <c r="L25" s="3">
        <v>0</v>
      </c>
      <c r="M25" s="3">
        <v>3</v>
      </c>
      <c r="N25" s="3">
        <v>19</v>
      </c>
      <c r="O25" s="3">
        <v>1</v>
      </c>
      <c r="P25" s="3">
        <v>0</v>
      </c>
      <c r="Q25" s="3">
        <v>34</v>
      </c>
      <c r="R25" s="9" t="s">
        <v>906</v>
      </c>
      <c r="S25" s="3">
        <v>2</v>
      </c>
    </row>
    <row r="26" spans="1:19" x14ac:dyDescent="0.3">
      <c r="A26" s="4" t="s">
        <v>164</v>
      </c>
      <c r="B26" s="6" t="s">
        <v>4</v>
      </c>
      <c r="C26" s="3" t="s">
        <v>208</v>
      </c>
      <c r="D26" s="3" t="s">
        <v>915</v>
      </c>
      <c r="E26" s="3">
        <v>134.1</v>
      </c>
      <c r="F26" s="3">
        <v>1069</v>
      </c>
      <c r="G26" s="29">
        <f>F26/57</f>
        <v>18.754385964912281</v>
      </c>
      <c r="H26" s="3">
        <v>42</v>
      </c>
      <c r="I26" s="3">
        <v>87</v>
      </c>
      <c r="J26" s="3">
        <v>797</v>
      </c>
      <c r="K26" s="3">
        <v>261</v>
      </c>
      <c r="L26" s="3">
        <v>0</v>
      </c>
      <c r="M26" s="3">
        <v>4</v>
      </c>
      <c r="N26" s="3">
        <v>39</v>
      </c>
      <c r="O26" s="3">
        <v>7</v>
      </c>
      <c r="P26" s="3">
        <v>2</v>
      </c>
      <c r="Q26" s="3">
        <v>25</v>
      </c>
      <c r="R26" s="9" t="s">
        <v>906</v>
      </c>
      <c r="S26" s="3">
        <v>0</v>
      </c>
    </row>
    <row r="27" spans="1:19" x14ac:dyDescent="0.3">
      <c r="A27" s="4" t="s">
        <v>139</v>
      </c>
      <c r="B27" s="6" t="s">
        <v>4</v>
      </c>
      <c r="C27" s="3" t="s">
        <v>208</v>
      </c>
      <c r="D27" s="3" t="s">
        <v>915</v>
      </c>
      <c r="E27" s="3">
        <v>122.9</v>
      </c>
      <c r="F27" s="3">
        <v>301</v>
      </c>
      <c r="G27" s="29">
        <f>F27/31</f>
        <v>9.7096774193548381</v>
      </c>
      <c r="H27" s="3">
        <v>8</v>
      </c>
      <c r="I27" s="3">
        <v>26</v>
      </c>
      <c r="J27" s="3">
        <v>245</v>
      </c>
      <c r="K27" s="3">
        <v>87</v>
      </c>
      <c r="L27" s="3">
        <v>0</v>
      </c>
      <c r="M27" s="3">
        <v>1</v>
      </c>
      <c r="N27" s="3">
        <v>4</v>
      </c>
      <c r="O27" s="3">
        <v>0</v>
      </c>
      <c r="P27" s="3">
        <v>2</v>
      </c>
      <c r="Q27" s="3">
        <v>23</v>
      </c>
      <c r="R27" s="9" t="s">
        <v>906</v>
      </c>
      <c r="S27" s="3">
        <v>9.1999999999999998E-2</v>
      </c>
    </row>
    <row r="28" spans="1:19" x14ac:dyDescent="0.3">
      <c r="A28" s="4" t="s">
        <v>400</v>
      </c>
      <c r="B28" s="6" t="s">
        <v>4</v>
      </c>
      <c r="C28" s="3" t="s">
        <v>623</v>
      </c>
      <c r="D28" s="3" t="s">
        <v>915</v>
      </c>
      <c r="E28" s="3">
        <v>132.9</v>
      </c>
      <c r="F28" s="3">
        <v>4589</v>
      </c>
      <c r="G28" s="29">
        <f>F28/177</f>
        <v>25.926553672316384</v>
      </c>
      <c r="H28" s="3">
        <v>187</v>
      </c>
      <c r="I28" s="3">
        <v>438</v>
      </c>
      <c r="J28" s="3">
        <v>3454</v>
      </c>
      <c r="K28" s="3">
        <v>1329</v>
      </c>
      <c r="L28" s="3">
        <v>4</v>
      </c>
      <c r="M28" s="3">
        <v>21</v>
      </c>
      <c r="N28" s="3">
        <v>124</v>
      </c>
      <c r="O28" s="3">
        <v>21</v>
      </c>
      <c r="P28" s="3">
        <v>13</v>
      </c>
      <c r="Q28" s="3">
        <v>31</v>
      </c>
      <c r="R28" s="9" t="s">
        <v>906</v>
      </c>
      <c r="S28" s="3">
        <v>1.5</v>
      </c>
    </row>
    <row r="29" spans="1:19" x14ac:dyDescent="0.3">
      <c r="A29" s="4" t="s">
        <v>389</v>
      </c>
      <c r="B29" s="6" t="s">
        <v>4</v>
      </c>
      <c r="C29" s="3" t="s">
        <v>623</v>
      </c>
      <c r="D29" s="3" t="s">
        <v>915</v>
      </c>
      <c r="E29" s="3">
        <v>139.69999999999999</v>
      </c>
      <c r="F29" s="3">
        <v>1080</v>
      </c>
      <c r="G29" s="3">
        <f>F29/27</f>
        <v>40</v>
      </c>
      <c r="H29" s="3">
        <v>34</v>
      </c>
      <c r="I29" s="3">
        <v>116</v>
      </c>
      <c r="J29" s="3">
        <v>773</v>
      </c>
      <c r="K29" s="3">
        <v>265</v>
      </c>
      <c r="L29" s="3">
        <v>0</v>
      </c>
      <c r="M29" s="3">
        <v>11</v>
      </c>
      <c r="N29" s="3">
        <v>10</v>
      </c>
      <c r="O29" s="3">
        <v>0</v>
      </c>
      <c r="P29" s="3">
        <v>0</v>
      </c>
      <c r="Q29" s="3">
        <v>34</v>
      </c>
      <c r="R29" s="9" t="s">
        <v>906</v>
      </c>
      <c r="S29" s="3">
        <v>0</v>
      </c>
    </row>
    <row r="30" spans="1:19" x14ac:dyDescent="0.3">
      <c r="A30" s="4" t="s">
        <v>408</v>
      </c>
      <c r="B30" s="6" t="s">
        <v>4</v>
      </c>
      <c r="C30" s="3" t="s">
        <v>623</v>
      </c>
      <c r="D30" s="3" t="s">
        <v>915</v>
      </c>
      <c r="E30" s="3">
        <v>141.19999999999999</v>
      </c>
      <c r="F30" s="3">
        <v>1059</v>
      </c>
      <c r="G30" s="29">
        <f>F30/39</f>
        <v>27.153846153846153</v>
      </c>
      <c r="H30" s="3">
        <v>38</v>
      </c>
      <c r="I30" s="3">
        <v>94</v>
      </c>
      <c r="J30" s="3">
        <v>750</v>
      </c>
      <c r="K30" s="3">
        <v>241</v>
      </c>
      <c r="L30" s="3">
        <v>0</v>
      </c>
      <c r="M30" s="3">
        <v>7</v>
      </c>
      <c r="N30" s="3">
        <v>32</v>
      </c>
      <c r="O30" s="3">
        <v>3</v>
      </c>
      <c r="P30" s="3">
        <v>2</v>
      </c>
      <c r="Q30" s="3">
        <v>35</v>
      </c>
      <c r="R30" s="9" t="s">
        <v>906</v>
      </c>
      <c r="S30" s="3">
        <v>0</v>
      </c>
    </row>
    <row r="31" spans="1:19" x14ac:dyDescent="0.3">
      <c r="A31" s="4" t="s">
        <v>423</v>
      </c>
      <c r="B31" s="6" t="s">
        <v>4</v>
      </c>
      <c r="C31" s="3" t="s">
        <v>623</v>
      </c>
      <c r="D31" s="3" t="s">
        <v>915</v>
      </c>
      <c r="E31" s="3">
        <v>147.6</v>
      </c>
      <c r="F31" s="3">
        <v>502</v>
      </c>
      <c r="G31" s="3">
        <f>F31/25</f>
        <v>20.079999999999998</v>
      </c>
      <c r="H31" s="3">
        <v>25</v>
      </c>
      <c r="I31" s="3">
        <v>27</v>
      </c>
      <c r="J31" s="3">
        <v>340</v>
      </c>
      <c r="K31" s="3">
        <v>100</v>
      </c>
      <c r="L31" s="3">
        <v>0</v>
      </c>
      <c r="M31" s="3">
        <v>2</v>
      </c>
      <c r="N31" s="3">
        <v>27</v>
      </c>
      <c r="O31" s="3">
        <v>2</v>
      </c>
      <c r="P31" s="3">
        <v>1</v>
      </c>
      <c r="Q31" s="3">
        <v>25</v>
      </c>
      <c r="R31" s="9" t="s">
        <v>906</v>
      </c>
      <c r="S31" s="3">
        <v>0</v>
      </c>
    </row>
    <row r="32" spans="1:19" x14ac:dyDescent="0.3">
      <c r="A32" s="4" t="s">
        <v>310</v>
      </c>
      <c r="B32" s="6" t="s">
        <v>4</v>
      </c>
      <c r="C32" s="3" t="s">
        <v>387</v>
      </c>
      <c r="D32" s="3" t="s">
        <v>915</v>
      </c>
      <c r="E32" s="3">
        <v>151</v>
      </c>
      <c r="F32" s="3">
        <v>388</v>
      </c>
      <c r="G32" s="29">
        <f>F32/13</f>
        <v>29.846153846153847</v>
      </c>
      <c r="H32" s="3">
        <v>17</v>
      </c>
      <c r="I32" s="3">
        <v>47</v>
      </c>
      <c r="J32" s="3">
        <v>257</v>
      </c>
      <c r="K32" s="3">
        <v>105</v>
      </c>
      <c r="L32" s="3">
        <v>0</v>
      </c>
      <c r="M32" s="3">
        <v>3</v>
      </c>
      <c r="N32" s="3">
        <v>11</v>
      </c>
      <c r="O32" s="3">
        <v>5</v>
      </c>
      <c r="P32" s="3">
        <v>3</v>
      </c>
      <c r="Q32" s="3">
        <v>29</v>
      </c>
      <c r="R32" s="9" t="s">
        <v>906</v>
      </c>
      <c r="S32" s="3">
        <v>1</v>
      </c>
    </row>
    <row r="33" spans="1:19" x14ac:dyDescent="0.3">
      <c r="A33" s="4" t="s">
        <v>993</v>
      </c>
      <c r="B33" s="6" t="s">
        <v>4</v>
      </c>
      <c r="C33" s="3" t="s">
        <v>387</v>
      </c>
      <c r="D33" s="3" t="s">
        <v>915</v>
      </c>
      <c r="E33" s="3">
        <v>133.9</v>
      </c>
      <c r="F33" s="3">
        <v>3311</v>
      </c>
      <c r="G33" s="29">
        <f>F33/109</f>
        <v>30.376146788990827</v>
      </c>
      <c r="H33" s="3">
        <v>134</v>
      </c>
      <c r="I33" s="3">
        <v>325</v>
      </c>
      <c r="J33" s="3">
        <v>2472</v>
      </c>
      <c r="K33" s="3">
        <v>956</v>
      </c>
      <c r="L33" s="3">
        <v>2</v>
      </c>
      <c r="M33" s="3">
        <v>24</v>
      </c>
      <c r="N33" s="3">
        <v>73</v>
      </c>
      <c r="O33" s="3">
        <v>16</v>
      </c>
      <c r="P33" s="3">
        <v>2</v>
      </c>
      <c r="Q33" s="3">
        <v>33</v>
      </c>
      <c r="R33" s="9" t="s">
        <v>906</v>
      </c>
      <c r="S33" s="3">
        <v>1</v>
      </c>
    </row>
    <row r="34" spans="1:19" x14ac:dyDescent="0.3">
      <c r="A34" s="4" t="s">
        <v>307</v>
      </c>
      <c r="B34" s="6" t="s">
        <v>4</v>
      </c>
      <c r="C34" s="3" t="s">
        <v>387</v>
      </c>
      <c r="D34" s="3" t="s">
        <v>915</v>
      </c>
      <c r="E34" s="3">
        <v>170.4</v>
      </c>
      <c r="F34" s="3">
        <v>1474</v>
      </c>
      <c r="G34" s="29">
        <f>F34/36</f>
        <v>40.944444444444443</v>
      </c>
      <c r="H34" s="3">
        <v>89</v>
      </c>
      <c r="I34" s="3">
        <v>98</v>
      </c>
      <c r="J34" s="3">
        <v>865</v>
      </c>
      <c r="K34" s="3">
        <v>206</v>
      </c>
      <c r="L34" s="3">
        <v>2</v>
      </c>
      <c r="M34" s="3">
        <v>7</v>
      </c>
      <c r="N34" s="3">
        <v>22</v>
      </c>
      <c r="O34" s="3">
        <v>7</v>
      </c>
      <c r="P34" s="3">
        <v>4</v>
      </c>
      <c r="Q34" s="3">
        <v>34</v>
      </c>
      <c r="R34" s="9" t="s">
        <v>906</v>
      </c>
      <c r="S34" s="3">
        <v>23</v>
      </c>
    </row>
    <row r="35" spans="1:19" x14ac:dyDescent="0.3">
      <c r="A35" s="4" t="s">
        <v>325</v>
      </c>
      <c r="B35" s="3" t="s">
        <v>4</v>
      </c>
      <c r="C35" s="3" t="s">
        <v>387</v>
      </c>
      <c r="D35" s="3" t="s">
        <v>915</v>
      </c>
      <c r="E35" s="3">
        <v>166.4</v>
      </c>
      <c r="F35" s="3">
        <v>1726</v>
      </c>
      <c r="G35" s="29">
        <f>F35/55</f>
        <v>31.381818181818183</v>
      </c>
      <c r="H35" s="3">
        <v>110</v>
      </c>
      <c r="I35" s="3">
        <v>118</v>
      </c>
      <c r="J35" s="3">
        <v>1037</v>
      </c>
      <c r="K35" s="3">
        <v>310</v>
      </c>
      <c r="L35" s="3">
        <v>0</v>
      </c>
      <c r="M35" s="3">
        <v>8</v>
      </c>
      <c r="N35" s="3">
        <v>58</v>
      </c>
      <c r="O35" s="3">
        <v>7</v>
      </c>
      <c r="P35" s="3">
        <v>4</v>
      </c>
      <c r="Q35" s="3">
        <v>27</v>
      </c>
      <c r="R35" s="3" t="s">
        <v>908</v>
      </c>
      <c r="S35" s="3">
        <v>1</v>
      </c>
    </row>
    <row r="36" spans="1:19" x14ac:dyDescent="0.3">
      <c r="A36" s="4" t="s">
        <v>341</v>
      </c>
      <c r="B36" s="6" t="s">
        <v>4</v>
      </c>
      <c r="C36" s="3" t="s">
        <v>387</v>
      </c>
      <c r="D36" s="3" t="s">
        <v>915</v>
      </c>
      <c r="E36" s="3">
        <v>120.5</v>
      </c>
      <c r="F36" s="3">
        <v>558</v>
      </c>
      <c r="G36" s="3">
        <f>F36/25</f>
        <v>22.32</v>
      </c>
      <c r="H36" s="3">
        <v>12</v>
      </c>
      <c r="I36" s="3">
        <v>42</v>
      </c>
      <c r="J36" s="3">
        <v>463</v>
      </c>
      <c r="K36" s="3">
        <v>121</v>
      </c>
      <c r="L36" s="3">
        <v>0</v>
      </c>
      <c r="M36" s="3">
        <v>2</v>
      </c>
      <c r="N36" s="3">
        <v>23</v>
      </c>
      <c r="O36" s="3">
        <v>4</v>
      </c>
      <c r="P36" s="3">
        <v>5</v>
      </c>
      <c r="Q36" s="3">
        <v>27</v>
      </c>
      <c r="R36" s="9" t="s">
        <v>906</v>
      </c>
      <c r="S36" s="3">
        <v>0</v>
      </c>
    </row>
    <row r="37" spans="1:19" x14ac:dyDescent="0.3">
      <c r="A37" s="4" t="s">
        <v>434</v>
      </c>
      <c r="B37" s="6" t="s">
        <v>4</v>
      </c>
      <c r="C37" s="3" t="s">
        <v>484</v>
      </c>
      <c r="D37" s="3" t="s">
        <v>915</v>
      </c>
      <c r="E37" s="3">
        <v>126.7</v>
      </c>
      <c r="F37" s="3">
        <v>3764</v>
      </c>
      <c r="G37" s="29">
        <f>F37/108</f>
        <v>34.851851851851855</v>
      </c>
      <c r="H37" s="3">
        <v>157</v>
      </c>
      <c r="I37" s="3">
        <v>283</v>
      </c>
      <c r="J37" s="3">
        <v>2970</v>
      </c>
      <c r="K37" s="3">
        <v>987</v>
      </c>
      <c r="L37" s="3">
        <v>3</v>
      </c>
      <c r="M37" s="3">
        <v>18</v>
      </c>
      <c r="N37" s="3">
        <v>63</v>
      </c>
      <c r="O37" s="3">
        <v>12</v>
      </c>
      <c r="P37" s="3">
        <v>11</v>
      </c>
      <c r="Q37" s="3">
        <v>32</v>
      </c>
      <c r="R37" s="9" t="s">
        <v>906</v>
      </c>
      <c r="S37" s="3">
        <v>0</v>
      </c>
    </row>
    <row r="38" spans="1:19" x14ac:dyDescent="0.3">
      <c r="A38" s="4" t="s">
        <v>438</v>
      </c>
      <c r="B38" s="6" t="s">
        <v>4</v>
      </c>
      <c r="C38" s="3" t="s">
        <v>484</v>
      </c>
      <c r="D38" s="3" t="s">
        <v>915</v>
      </c>
      <c r="E38" s="3">
        <v>136.80000000000001</v>
      </c>
      <c r="F38" s="3">
        <v>4772</v>
      </c>
      <c r="G38" s="29">
        <f>F38/146</f>
        <v>32.684931506849317</v>
      </c>
      <c r="H38" s="3">
        <v>247</v>
      </c>
      <c r="I38" s="3">
        <v>459</v>
      </c>
      <c r="J38" s="3">
        <v>3488</v>
      </c>
      <c r="K38" s="3">
        <v>1348</v>
      </c>
      <c r="L38" s="3">
        <v>1</v>
      </c>
      <c r="M38" s="3">
        <v>30</v>
      </c>
      <c r="N38" s="3">
        <v>50</v>
      </c>
      <c r="O38" s="3">
        <v>5</v>
      </c>
      <c r="P38" s="3">
        <v>2</v>
      </c>
      <c r="Q38" s="3">
        <v>37</v>
      </c>
      <c r="R38" s="9" t="s">
        <v>906</v>
      </c>
      <c r="S38" s="3">
        <v>0.66</v>
      </c>
    </row>
    <row r="39" spans="1:19" x14ac:dyDescent="0.3">
      <c r="A39" s="4" t="s">
        <v>435</v>
      </c>
      <c r="B39" s="6" t="s">
        <v>4</v>
      </c>
      <c r="C39" s="3" t="s">
        <v>484</v>
      </c>
      <c r="D39" s="3" t="s">
        <v>915</v>
      </c>
      <c r="E39" s="3">
        <v>171.2</v>
      </c>
      <c r="F39" s="3">
        <v>2273</v>
      </c>
      <c r="G39" s="29">
        <f>F39/68</f>
        <v>33.426470588235297</v>
      </c>
      <c r="H39" s="3">
        <v>167</v>
      </c>
      <c r="I39" s="3">
        <v>157</v>
      </c>
      <c r="J39" s="3">
        <v>1328</v>
      </c>
      <c r="K39" s="3">
        <v>445</v>
      </c>
      <c r="L39" s="3">
        <v>0</v>
      </c>
      <c r="M39" s="3">
        <v>14</v>
      </c>
      <c r="N39" s="3">
        <v>40</v>
      </c>
      <c r="O39" s="3">
        <v>4</v>
      </c>
      <c r="P39" s="3">
        <v>2</v>
      </c>
      <c r="Q39" s="3">
        <v>30</v>
      </c>
      <c r="R39" s="9" t="s">
        <v>906</v>
      </c>
      <c r="S39" s="3">
        <v>21</v>
      </c>
    </row>
    <row r="40" spans="1:19" x14ac:dyDescent="0.3">
      <c r="A40" s="4" t="s">
        <v>994</v>
      </c>
      <c r="B40" s="6" t="s">
        <v>4</v>
      </c>
      <c r="C40" s="3" t="s">
        <v>484</v>
      </c>
      <c r="D40" s="3" t="s">
        <v>915</v>
      </c>
      <c r="E40" s="3">
        <v>96</v>
      </c>
      <c r="F40" s="3">
        <v>334</v>
      </c>
      <c r="G40" s="29">
        <f>F40/14</f>
        <v>23.857142857142858</v>
      </c>
      <c r="H40" s="3">
        <v>14</v>
      </c>
      <c r="I40" s="3">
        <v>26</v>
      </c>
      <c r="J40" s="3">
        <v>348</v>
      </c>
      <c r="K40" s="3">
        <v>176</v>
      </c>
      <c r="L40" s="3">
        <v>0</v>
      </c>
      <c r="M40" s="3">
        <v>3</v>
      </c>
      <c r="N40" s="3">
        <v>13</v>
      </c>
      <c r="O40" s="3">
        <v>3</v>
      </c>
      <c r="P40" s="3">
        <v>1</v>
      </c>
      <c r="Q40" s="3">
        <v>28</v>
      </c>
      <c r="R40" s="9" t="s">
        <v>908</v>
      </c>
      <c r="S40" s="3">
        <v>0</v>
      </c>
    </row>
    <row r="41" spans="1:19" x14ac:dyDescent="0.3">
      <c r="A41" s="4" t="s">
        <v>485</v>
      </c>
      <c r="B41" s="6" t="s">
        <v>4</v>
      </c>
      <c r="C41" s="3" t="s">
        <v>534</v>
      </c>
      <c r="D41" s="3" t="s">
        <v>915</v>
      </c>
      <c r="E41" s="3">
        <v>140.69999999999999</v>
      </c>
      <c r="F41" s="3">
        <v>1823</v>
      </c>
      <c r="G41" s="29">
        <f>F41/56</f>
        <v>32.553571428571431</v>
      </c>
      <c r="H41" s="3">
        <v>68</v>
      </c>
      <c r="I41" s="3">
        <v>182</v>
      </c>
      <c r="J41" s="3">
        <v>1296</v>
      </c>
      <c r="K41" s="3">
        <v>451</v>
      </c>
      <c r="L41" s="3">
        <v>1</v>
      </c>
      <c r="M41" s="3">
        <v>11</v>
      </c>
      <c r="N41" s="3">
        <v>31</v>
      </c>
      <c r="O41" s="3">
        <v>5</v>
      </c>
      <c r="P41" s="3">
        <v>9</v>
      </c>
      <c r="Q41" s="3">
        <v>31</v>
      </c>
      <c r="R41" s="9" t="s">
        <v>906</v>
      </c>
      <c r="S41" s="3">
        <v>1.39</v>
      </c>
    </row>
    <row r="42" spans="1:19" x14ac:dyDescent="0.3">
      <c r="A42" s="4" t="s">
        <v>492</v>
      </c>
      <c r="B42" s="6" t="s">
        <v>4</v>
      </c>
      <c r="C42" s="3" t="s">
        <v>534</v>
      </c>
      <c r="D42" s="3" t="s">
        <v>915</v>
      </c>
      <c r="E42" s="3">
        <v>135.30000000000001</v>
      </c>
      <c r="F42" s="3">
        <v>1667</v>
      </c>
      <c r="G42" s="3">
        <f>F42/50</f>
        <v>33.340000000000003</v>
      </c>
      <c r="H42" s="3">
        <v>56</v>
      </c>
      <c r="I42" s="3">
        <v>177</v>
      </c>
      <c r="J42" s="3">
        <v>1232</v>
      </c>
      <c r="K42" s="3">
        <v>456</v>
      </c>
      <c r="L42" s="3">
        <v>0</v>
      </c>
      <c r="M42" s="3">
        <v>9</v>
      </c>
      <c r="N42" s="3">
        <v>28</v>
      </c>
      <c r="O42" s="3">
        <v>4</v>
      </c>
      <c r="P42" s="3">
        <v>2</v>
      </c>
      <c r="Q42" s="3">
        <v>36</v>
      </c>
      <c r="R42" s="9" t="s">
        <v>906</v>
      </c>
      <c r="S42" s="3">
        <v>0.37</v>
      </c>
    </row>
    <row r="43" spans="1:19" x14ac:dyDescent="0.3">
      <c r="A43" s="4" t="s">
        <v>503</v>
      </c>
      <c r="B43" s="6" t="s">
        <v>4</v>
      </c>
      <c r="C43" s="3" t="s">
        <v>534</v>
      </c>
      <c r="D43" s="3" t="s">
        <v>915</v>
      </c>
      <c r="E43" s="3">
        <v>106.4</v>
      </c>
      <c r="F43" s="3">
        <v>184</v>
      </c>
      <c r="G43" s="29">
        <f>F43/11</f>
        <v>16.727272727272727</v>
      </c>
      <c r="H43" s="3">
        <v>5</v>
      </c>
      <c r="I43" s="3">
        <v>16</v>
      </c>
      <c r="J43" s="3">
        <v>173</v>
      </c>
      <c r="K43" s="3">
        <v>72</v>
      </c>
      <c r="L43" s="3">
        <v>0</v>
      </c>
      <c r="M43" s="3">
        <v>0</v>
      </c>
      <c r="N43" s="3">
        <v>10</v>
      </c>
      <c r="O43" s="3">
        <v>2</v>
      </c>
      <c r="P43" s="3">
        <v>0</v>
      </c>
      <c r="Q43" s="3">
        <v>31</v>
      </c>
      <c r="R43" s="9" t="s">
        <v>906</v>
      </c>
      <c r="S43" s="3">
        <v>0.18</v>
      </c>
    </row>
    <row r="44" spans="1:19" x14ac:dyDescent="0.3">
      <c r="A44" s="4" t="s">
        <v>491</v>
      </c>
      <c r="B44" s="6" t="s">
        <v>4</v>
      </c>
      <c r="C44" s="3" t="s">
        <v>534</v>
      </c>
      <c r="D44" s="3" t="s">
        <v>915</v>
      </c>
      <c r="E44" s="3">
        <v>126.8</v>
      </c>
      <c r="F44" s="3">
        <v>691</v>
      </c>
      <c r="G44" s="29">
        <f>F44/22</f>
        <v>31.40909090909091</v>
      </c>
      <c r="H44" s="3">
        <v>5</v>
      </c>
      <c r="I44" s="3">
        <v>79</v>
      </c>
      <c r="J44" s="3">
        <v>545</v>
      </c>
      <c r="K44" s="3">
        <v>169</v>
      </c>
      <c r="L44" s="3">
        <v>0</v>
      </c>
      <c r="M44" s="3">
        <v>3</v>
      </c>
      <c r="N44" s="3">
        <v>22</v>
      </c>
      <c r="O44" s="3">
        <v>6</v>
      </c>
      <c r="P44" s="3">
        <v>3</v>
      </c>
      <c r="Q44" s="3">
        <v>30</v>
      </c>
      <c r="R44" s="9" t="s">
        <v>906</v>
      </c>
      <c r="S44" s="3">
        <v>0</v>
      </c>
    </row>
    <row r="45" spans="1:19" x14ac:dyDescent="0.3">
      <c r="A45" s="4" t="s">
        <v>500</v>
      </c>
      <c r="B45" s="6" t="s">
        <v>4</v>
      </c>
      <c r="C45" s="3" t="s">
        <v>534</v>
      </c>
      <c r="D45" s="3" t="s">
        <v>915</v>
      </c>
      <c r="E45" s="3">
        <v>139.4</v>
      </c>
      <c r="F45" s="3">
        <v>1252</v>
      </c>
      <c r="G45" s="29">
        <f>F45/65</f>
        <v>19.261538461538461</v>
      </c>
      <c r="H45" s="3">
        <v>33</v>
      </c>
      <c r="I45" s="3">
        <v>155</v>
      </c>
      <c r="J45" s="3">
        <v>898</v>
      </c>
      <c r="K45" s="3">
        <v>346</v>
      </c>
      <c r="L45" s="3">
        <v>0</v>
      </c>
      <c r="M45" s="3">
        <v>6</v>
      </c>
      <c r="N45" s="3">
        <v>39</v>
      </c>
      <c r="O45" s="3">
        <v>11</v>
      </c>
      <c r="P45" s="3">
        <v>6</v>
      </c>
      <c r="Q45" s="3">
        <v>32</v>
      </c>
      <c r="R45" s="9" t="s">
        <v>906</v>
      </c>
      <c r="S45" s="3">
        <v>0.32</v>
      </c>
    </row>
    <row r="46" spans="1:19" x14ac:dyDescent="0.3">
      <c r="A46" s="4" t="s">
        <v>1017</v>
      </c>
      <c r="B46" s="6" t="s">
        <v>4</v>
      </c>
      <c r="C46" s="3" t="s">
        <v>961</v>
      </c>
      <c r="D46" s="3" t="s">
        <v>915</v>
      </c>
      <c r="E46" s="3">
        <v>136.1</v>
      </c>
      <c r="F46" s="3">
        <v>362</v>
      </c>
      <c r="G46" s="29">
        <f>F46/16</f>
        <v>22.625</v>
      </c>
      <c r="H46" s="3">
        <v>22</v>
      </c>
      <c r="I46" s="3">
        <v>34</v>
      </c>
      <c r="J46" s="3">
        <v>266</v>
      </c>
      <c r="K46" s="3">
        <v>130</v>
      </c>
      <c r="L46" s="3">
        <v>0</v>
      </c>
      <c r="M46" s="3">
        <v>2</v>
      </c>
      <c r="N46" s="3">
        <v>17</v>
      </c>
      <c r="O46" s="3">
        <v>0</v>
      </c>
      <c r="P46" s="3">
        <v>1</v>
      </c>
      <c r="Q46" s="3">
        <v>24</v>
      </c>
      <c r="R46" s="9" t="s">
        <v>906</v>
      </c>
      <c r="S46" s="3">
        <v>2</v>
      </c>
    </row>
    <row r="47" spans="1:19" x14ac:dyDescent="0.3">
      <c r="A47" s="4" t="s">
        <v>995</v>
      </c>
      <c r="B47" s="6" t="s">
        <v>4</v>
      </c>
      <c r="C47" s="3" t="s">
        <v>961</v>
      </c>
      <c r="D47" s="3" t="s">
        <v>915</v>
      </c>
      <c r="E47" s="3">
        <v>145.69999999999999</v>
      </c>
      <c r="F47" s="3">
        <v>1785</v>
      </c>
      <c r="G47" s="3">
        <f>F47/70</f>
        <v>25.5</v>
      </c>
      <c r="H47" s="3">
        <v>98</v>
      </c>
      <c r="I47" s="3">
        <v>197</v>
      </c>
      <c r="J47" s="3">
        <v>1225</v>
      </c>
      <c r="K47" s="3">
        <v>483</v>
      </c>
      <c r="L47" s="3">
        <v>1</v>
      </c>
      <c r="M47" s="3">
        <v>13</v>
      </c>
      <c r="N47" s="3">
        <v>22</v>
      </c>
      <c r="O47" s="3">
        <v>0</v>
      </c>
      <c r="P47" s="3">
        <v>0</v>
      </c>
      <c r="Q47" s="3">
        <v>28</v>
      </c>
      <c r="R47" s="9" t="s">
        <v>906</v>
      </c>
      <c r="S47" s="3">
        <v>0</v>
      </c>
    </row>
    <row r="48" spans="1:19" x14ac:dyDescent="0.3">
      <c r="A48" s="4" t="s">
        <v>996</v>
      </c>
      <c r="B48" s="6" t="s">
        <v>4</v>
      </c>
      <c r="C48" s="3" t="s">
        <v>974</v>
      </c>
      <c r="D48" s="3" t="s">
        <v>915</v>
      </c>
      <c r="E48" s="3">
        <v>128.4</v>
      </c>
      <c r="F48" s="3">
        <v>2817</v>
      </c>
      <c r="G48" s="29">
        <f>F48/98</f>
        <v>28.744897959183675</v>
      </c>
      <c r="H48" s="3">
        <v>95</v>
      </c>
      <c r="I48" s="3">
        <v>290</v>
      </c>
      <c r="J48" s="3">
        <v>2194</v>
      </c>
      <c r="K48" s="3">
        <v>820</v>
      </c>
      <c r="L48" s="3">
        <v>1</v>
      </c>
      <c r="M48" s="3">
        <v>17</v>
      </c>
      <c r="N48" s="3">
        <v>58</v>
      </c>
      <c r="O48" s="3">
        <v>14</v>
      </c>
      <c r="P48" s="3">
        <v>4</v>
      </c>
      <c r="Q48" s="3">
        <v>31</v>
      </c>
      <c r="R48" s="9" t="s">
        <v>906</v>
      </c>
      <c r="S48" s="3">
        <v>0.32</v>
      </c>
    </row>
    <row r="49" spans="1:19" x14ac:dyDescent="0.3">
      <c r="A49" s="4" t="s">
        <v>997</v>
      </c>
      <c r="B49" s="6" t="s">
        <v>4</v>
      </c>
      <c r="C49" s="3" t="s">
        <v>974</v>
      </c>
      <c r="D49" s="3" t="s">
        <v>915</v>
      </c>
      <c r="E49" s="3">
        <v>126</v>
      </c>
      <c r="F49" s="3">
        <v>896</v>
      </c>
      <c r="G49" s="29">
        <f>F49/36</f>
        <v>24.888888888888889</v>
      </c>
      <c r="H49" s="3">
        <v>50</v>
      </c>
      <c r="I49" s="3">
        <v>50</v>
      </c>
      <c r="J49" s="3">
        <v>711</v>
      </c>
      <c r="K49" s="3">
        <v>264</v>
      </c>
      <c r="L49" s="3">
        <v>0</v>
      </c>
      <c r="M49" s="3">
        <v>1</v>
      </c>
      <c r="N49" s="3">
        <v>31</v>
      </c>
      <c r="O49" s="3">
        <v>3</v>
      </c>
      <c r="P49" s="3">
        <v>3</v>
      </c>
      <c r="Q49" s="3">
        <v>28</v>
      </c>
      <c r="R49" s="9" t="s">
        <v>906</v>
      </c>
      <c r="S49" s="3">
        <v>0.35</v>
      </c>
    </row>
    <row r="50" spans="1:19" x14ac:dyDescent="0.3">
      <c r="A50" s="4" t="s">
        <v>558</v>
      </c>
      <c r="B50" s="6" t="s">
        <v>4</v>
      </c>
      <c r="C50" s="3" t="s">
        <v>568</v>
      </c>
      <c r="D50" s="3" t="s">
        <v>915</v>
      </c>
      <c r="E50" s="3">
        <v>121.4</v>
      </c>
      <c r="F50" s="3">
        <v>1093</v>
      </c>
      <c r="G50" s="29">
        <f>F50/52</f>
        <v>21.01923076923077</v>
      </c>
      <c r="H50" s="3">
        <v>28</v>
      </c>
      <c r="I50" s="3">
        <v>86</v>
      </c>
      <c r="J50" s="3">
        <v>900</v>
      </c>
      <c r="K50" s="3">
        <v>280</v>
      </c>
      <c r="L50" s="3">
        <v>0</v>
      </c>
      <c r="M50" s="3">
        <v>2</v>
      </c>
      <c r="N50" s="3">
        <v>63</v>
      </c>
      <c r="O50" s="3">
        <v>8</v>
      </c>
      <c r="P50" s="3">
        <v>5</v>
      </c>
      <c r="Q50" s="3">
        <v>39</v>
      </c>
      <c r="R50" s="9" t="s">
        <v>906</v>
      </c>
      <c r="S50" s="3">
        <v>0</v>
      </c>
    </row>
    <row r="51" spans="1:19" x14ac:dyDescent="0.3">
      <c r="A51" s="4" t="s">
        <v>550</v>
      </c>
      <c r="B51" s="6" t="s">
        <v>4</v>
      </c>
      <c r="C51" s="3" t="s">
        <v>557</v>
      </c>
      <c r="D51" s="3" t="s">
        <v>915</v>
      </c>
      <c r="E51" s="3">
        <v>115.5</v>
      </c>
      <c r="F51" s="3">
        <v>283</v>
      </c>
      <c r="G51" s="29">
        <f>F51/11</f>
        <v>25.727272727272727</v>
      </c>
      <c r="H51" s="3">
        <v>4</v>
      </c>
      <c r="I51" s="3">
        <v>30</v>
      </c>
      <c r="J51" s="3">
        <v>245</v>
      </c>
      <c r="K51" s="3">
        <v>93</v>
      </c>
      <c r="L51" s="3">
        <v>0</v>
      </c>
      <c r="M51" s="3">
        <v>0</v>
      </c>
      <c r="N51" s="3">
        <v>7</v>
      </c>
      <c r="O51" s="3">
        <v>3</v>
      </c>
      <c r="P51" s="3">
        <v>1</v>
      </c>
      <c r="Q51" s="3">
        <v>29</v>
      </c>
      <c r="R51" s="9" t="s">
        <v>906</v>
      </c>
      <c r="S51" s="3">
        <v>9.1999999999999998E-2</v>
      </c>
    </row>
    <row r="52" spans="1:19" x14ac:dyDescent="0.3">
      <c r="A52" s="4" t="s">
        <v>540</v>
      </c>
      <c r="B52" s="6" t="s">
        <v>4</v>
      </c>
      <c r="C52" s="3" t="s">
        <v>546</v>
      </c>
      <c r="D52" s="3" t="s">
        <v>915</v>
      </c>
      <c r="E52" s="3">
        <v>114.6</v>
      </c>
      <c r="F52" s="3">
        <v>872</v>
      </c>
      <c r="G52" s="29">
        <f>F52/53</f>
        <v>16.452830188679247</v>
      </c>
      <c r="H52" s="3">
        <v>21</v>
      </c>
      <c r="I52" s="3">
        <v>102</v>
      </c>
      <c r="J52" s="3">
        <v>761</v>
      </c>
      <c r="K52" s="3">
        <v>361</v>
      </c>
      <c r="L52" s="3">
        <v>0</v>
      </c>
      <c r="M52" s="3">
        <v>4</v>
      </c>
      <c r="N52" s="3">
        <v>22</v>
      </c>
      <c r="O52" s="3">
        <v>1</v>
      </c>
      <c r="P52" s="3">
        <v>1</v>
      </c>
      <c r="Q52" s="3">
        <v>24</v>
      </c>
      <c r="R52" s="9" t="s">
        <v>906</v>
      </c>
      <c r="S52" s="3">
        <v>0</v>
      </c>
    </row>
    <row r="53" spans="1:19" x14ac:dyDescent="0.3">
      <c r="A53" s="4" t="s">
        <v>539</v>
      </c>
      <c r="B53" s="6" t="s">
        <v>4</v>
      </c>
      <c r="C53" s="3" t="s">
        <v>546</v>
      </c>
      <c r="D53" s="3" t="s">
        <v>915</v>
      </c>
      <c r="E53" s="3">
        <v>100</v>
      </c>
      <c r="F53" s="3">
        <v>228</v>
      </c>
      <c r="G53" s="3">
        <f>F53/15</f>
        <v>15.2</v>
      </c>
      <c r="H53" s="3">
        <v>4</v>
      </c>
      <c r="I53" s="3">
        <v>21</v>
      </c>
      <c r="J53" s="3">
        <v>228</v>
      </c>
      <c r="K53" s="3">
        <v>97</v>
      </c>
      <c r="L53" s="3">
        <v>0</v>
      </c>
      <c r="M53" s="3">
        <v>1</v>
      </c>
      <c r="N53" s="3">
        <v>8</v>
      </c>
      <c r="O53" s="3">
        <v>0</v>
      </c>
      <c r="P53" s="3">
        <v>0</v>
      </c>
      <c r="Q53" s="3">
        <v>33</v>
      </c>
      <c r="R53" s="9" t="s">
        <v>906</v>
      </c>
      <c r="S53" s="3">
        <v>0</v>
      </c>
    </row>
    <row r="54" spans="1:19" x14ac:dyDescent="0.3">
      <c r="A54" s="4" t="s">
        <v>347</v>
      </c>
      <c r="B54" s="6" t="s">
        <v>4</v>
      </c>
      <c r="C54" s="3" t="s">
        <v>578</v>
      </c>
      <c r="D54" s="3" t="s">
        <v>915</v>
      </c>
      <c r="E54" s="3">
        <v>133.1</v>
      </c>
      <c r="F54" s="3">
        <v>1684</v>
      </c>
      <c r="G54" s="29">
        <f>F54/58</f>
        <v>29.03448275862069</v>
      </c>
      <c r="H54" s="3">
        <v>70</v>
      </c>
      <c r="I54" s="3">
        <v>166</v>
      </c>
      <c r="J54" s="3">
        <v>1265</v>
      </c>
      <c r="K54" s="3">
        <v>503</v>
      </c>
      <c r="L54" s="3">
        <v>1</v>
      </c>
      <c r="M54" s="3">
        <v>9</v>
      </c>
      <c r="N54" s="3">
        <v>39</v>
      </c>
      <c r="O54" s="3">
        <v>7</v>
      </c>
      <c r="P54" s="3">
        <v>4</v>
      </c>
      <c r="Q54" s="3">
        <v>32</v>
      </c>
      <c r="R54" s="9" t="s">
        <v>906</v>
      </c>
      <c r="S54" s="3">
        <v>0.46</v>
      </c>
    </row>
    <row r="55" spans="1:19" x14ac:dyDescent="0.3">
      <c r="A55" s="4" t="s">
        <v>575</v>
      </c>
      <c r="B55" s="6" t="s">
        <v>4</v>
      </c>
      <c r="C55" s="3" t="s">
        <v>578</v>
      </c>
      <c r="D55" s="3" t="s">
        <v>915</v>
      </c>
      <c r="E55" s="3">
        <v>128.19999999999999</v>
      </c>
      <c r="F55" s="3">
        <v>881</v>
      </c>
      <c r="G55" s="29">
        <f>F55/38</f>
        <v>23.184210526315791</v>
      </c>
      <c r="H55" s="3">
        <v>35</v>
      </c>
      <c r="I55" s="3">
        <v>86</v>
      </c>
      <c r="J55" s="3">
        <v>687</v>
      </c>
      <c r="K55" s="3">
        <v>244</v>
      </c>
      <c r="L55" s="3">
        <v>0</v>
      </c>
      <c r="M55" s="3">
        <v>2</v>
      </c>
      <c r="N55" s="3">
        <v>15</v>
      </c>
      <c r="O55" s="3">
        <v>2</v>
      </c>
      <c r="P55" s="3">
        <v>4</v>
      </c>
      <c r="Q55" s="3">
        <v>31</v>
      </c>
      <c r="R55" s="9" t="s">
        <v>908</v>
      </c>
      <c r="S55" s="3">
        <v>0.14000000000000001</v>
      </c>
    </row>
    <row r="56" spans="1:19" x14ac:dyDescent="0.3">
      <c r="A56" s="4" t="s">
        <v>580</v>
      </c>
      <c r="B56" s="6" t="s">
        <v>4</v>
      </c>
      <c r="C56" s="3" t="s">
        <v>589</v>
      </c>
      <c r="D56" s="3" t="s">
        <v>915</v>
      </c>
      <c r="E56" s="3">
        <v>110.3</v>
      </c>
      <c r="F56" s="3">
        <v>472</v>
      </c>
      <c r="G56" s="29">
        <f>F56/22</f>
        <v>21.454545454545453</v>
      </c>
      <c r="H56" s="3">
        <v>11</v>
      </c>
      <c r="I56" s="3">
        <v>43</v>
      </c>
      <c r="J56" s="3">
        <v>428</v>
      </c>
      <c r="K56" s="3">
        <v>126</v>
      </c>
      <c r="L56" s="3">
        <v>0</v>
      </c>
      <c r="M56" s="3">
        <v>3</v>
      </c>
      <c r="N56" s="3">
        <v>11</v>
      </c>
      <c r="O56" s="3">
        <v>0</v>
      </c>
      <c r="P56" s="3">
        <v>0</v>
      </c>
      <c r="Q56" s="3">
        <v>24</v>
      </c>
      <c r="R56" s="9" t="s">
        <v>906</v>
      </c>
      <c r="S56" s="3">
        <v>0.15</v>
      </c>
    </row>
    <row r="57" spans="1:19" x14ac:dyDescent="0.3">
      <c r="A57" s="4" t="s">
        <v>998</v>
      </c>
      <c r="B57" s="6" t="s">
        <v>4</v>
      </c>
      <c r="C57" s="3" t="s">
        <v>589</v>
      </c>
      <c r="D57" s="3" t="s">
        <v>915</v>
      </c>
      <c r="E57" s="3">
        <v>130.4</v>
      </c>
      <c r="F57" s="3">
        <v>176</v>
      </c>
      <c r="G57" s="3">
        <f>F57/16</f>
        <v>11</v>
      </c>
      <c r="H57" s="3">
        <v>11</v>
      </c>
      <c r="I57" s="3">
        <v>15</v>
      </c>
      <c r="J57" s="3">
        <v>135</v>
      </c>
      <c r="K57" s="3">
        <v>67</v>
      </c>
      <c r="L57" s="3">
        <v>0</v>
      </c>
      <c r="M57" s="3">
        <v>0</v>
      </c>
      <c r="N57" s="3">
        <v>9</v>
      </c>
      <c r="O57" s="3">
        <v>0</v>
      </c>
      <c r="P57" s="3">
        <v>0</v>
      </c>
      <c r="Q57" s="3">
        <v>26</v>
      </c>
      <c r="R57" s="9" t="s">
        <v>908</v>
      </c>
      <c r="S57" s="3">
        <v>0.15</v>
      </c>
    </row>
    <row r="58" spans="1:19" x14ac:dyDescent="0.3">
      <c r="A58" s="4" t="s">
        <v>585</v>
      </c>
      <c r="B58" s="6" t="s">
        <v>4</v>
      </c>
      <c r="C58" s="3" t="s">
        <v>589</v>
      </c>
      <c r="D58" s="3" t="s">
        <v>915</v>
      </c>
      <c r="E58" s="3">
        <v>107.2</v>
      </c>
      <c r="F58" s="3">
        <v>477</v>
      </c>
      <c r="G58" s="29">
        <f>F58/32</f>
        <v>14.90625</v>
      </c>
      <c r="H58" s="3">
        <v>9</v>
      </c>
      <c r="I58" s="3">
        <v>45</v>
      </c>
      <c r="J58" s="3">
        <v>445</v>
      </c>
      <c r="K58" s="3">
        <v>180</v>
      </c>
      <c r="L58" s="3">
        <v>0</v>
      </c>
      <c r="M58" s="3">
        <v>0</v>
      </c>
      <c r="N58" s="3">
        <v>8</v>
      </c>
      <c r="O58" s="3">
        <v>0</v>
      </c>
      <c r="P58" s="3">
        <v>2</v>
      </c>
      <c r="Q58" s="3">
        <v>28</v>
      </c>
      <c r="R58" s="9" t="s">
        <v>908</v>
      </c>
      <c r="S58" s="3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7A48-B6AB-4A7F-BDE3-6C7E02A6D84D}">
  <dimension ref="A1:AA75"/>
  <sheetViews>
    <sheetView workbookViewId="0">
      <pane xSplit="1" topLeftCell="S1" activePane="topRight" state="frozen"/>
      <selection pane="topRight" sqref="A1:AA1"/>
    </sheetView>
  </sheetViews>
  <sheetFormatPr defaultRowHeight="14.4" x14ac:dyDescent="0.3"/>
  <cols>
    <col min="1" max="1" width="22.109375" customWidth="1"/>
    <col min="2" max="2" width="12.21875" customWidth="1"/>
    <col min="3" max="3" width="19.88671875" customWidth="1"/>
    <col min="4" max="4" width="21.88671875" customWidth="1"/>
    <col min="5" max="5" width="14.109375" customWidth="1"/>
    <col min="6" max="6" width="24.21875" customWidth="1"/>
    <col min="7" max="7" width="25.44140625" customWidth="1"/>
    <col min="8" max="8" width="19.6640625" customWidth="1"/>
    <col min="9" max="9" width="21.5546875" customWidth="1"/>
    <col min="10" max="10" width="18.88671875" customWidth="1"/>
    <col min="11" max="11" width="29.44140625" customWidth="1"/>
    <col min="12" max="12" width="23.6640625" customWidth="1"/>
    <col min="13" max="13" width="25.6640625" customWidth="1"/>
    <col min="14" max="14" width="21.77734375" customWidth="1"/>
    <col min="15" max="15" width="17.5546875" customWidth="1"/>
    <col min="16" max="16" width="17.109375" customWidth="1"/>
    <col min="17" max="17" width="28.88671875" customWidth="1"/>
    <col min="18" max="18" width="16" customWidth="1"/>
    <col min="19" max="19" width="15.5546875" customWidth="1"/>
    <col min="20" max="20" width="16.33203125" customWidth="1"/>
    <col min="21" max="21" width="15.77734375" customWidth="1"/>
    <col min="22" max="22" width="14.109375" customWidth="1"/>
    <col min="23" max="23" width="17.109375" customWidth="1"/>
    <col min="24" max="24" width="15.21875" customWidth="1"/>
    <col min="25" max="25" width="18.109375" customWidth="1"/>
    <col min="26" max="26" width="18.5546875" customWidth="1"/>
    <col min="27" max="27" width="26.88671875" style="3" customWidth="1"/>
  </cols>
  <sheetData>
    <row r="1" spans="1:27" ht="28.8" x14ac:dyDescent="0.3">
      <c r="A1" s="1" t="s">
        <v>1</v>
      </c>
      <c r="B1" s="1" t="s">
        <v>2</v>
      </c>
      <c r="C1" s="1" t="s">
        <v>70</v>
      </c>
      <c r="D1" s="1" t="s">
        <v>109</v>
      </c>
      <c r="E1" s="17" t="s">
        <v>947</v>
      </c>
      <c r="F1" s="4" t="s">
        <v>896</v>
      </c>
      <c r="G1" s="4" t="s">
        <v>898</v>
      </c>
      <c r="H1" s="4" t="s">
        <v>899</v>
      </c>
      <c r="I1" s="4" t="s">
        <v>900</v>
      </c>
      <c r="J1" s="4" t="s">
        <v>901</v>
      </c>
      <c r="K1" s="4" t="s">
        <v>902</v>
      </c>
      <c r="L1" s="4" t="s">
        <v>907</v>
      </c>
      <c r="M1" s="4" t="s">
        <v>903</v>
      </c>
      <c r="N1" s="17" t="s">
        <v>930</v>
      </c>
      <c r="O1" s="17" t="s">
        <v>939</v>
      </c>
      <c r="P1" s="17" t="s">
        <v>948</v>
      </c>
      <c r="Q1" s="17" t="s">
        <v>928</v>
      </c>
      <c r="R1" s="17" t="s">
        <v>938</v>
      </c>
      <c r="S1" s="17" t="s">
        <v>929</v>
      </c>
      <c r="T1" s="17" t="s">
        <v>931</v>
      </c>
      <c r="U1" s="17" t="s">
        <v>932</v>
      </c>
      <c r="V1" s="17" t="s">
        <v>933</v>
      </c>
      <c r="W1" s="17" t="s">
        <v>934</v>
      </c>
      <c r="X1" s="17" t="s">
        <v>937</v>
      </c>
      <c r="Y1" s="17" t="s">
        <v>904</v>
      </c>
      <c r="Z1" s="28" t="s">
        <v>936</v>
      </c>
      <c r="AA1" s="4" t="s">
        <v>1011</v>
      </c>
    </row>
    <row r="2" spans="1:27" x14ac:dyDescent="0.3">
      <c r="A2" s="21" t="s">
        <v>14</v>
      </c>
      <c r="B2" s="8" t="s">
        <v>4</v>
      </c>
      <c r="C2" s="8" t="s">
        <v>71</v>
      </c>
      <c r="D2" s="8" t="s">
        <v>942</v>
      </c>
      <c r="E2" s="3">
        <v>2757</v>
      </c>
      <c r="F2" s="3">
        <v>147</v>
      </c>
      <c r="G2" s="3">
        <v>28.34</v>
      </c>
      <c r="H2" s="3">
        <v>149</v>
      </c>
      <c r="I2" s="3">
        <v>207</v>
      </c>
      <c r="J2" s="3">
        <v>1875</v>
      </c>
      <c r="K2" s="3">
        <v>619</v>
      </c>
      <c r="L2" s="3">
        <v>0</v>
      </c>
      <c r="M2" s="3">
        <v>10</v>
      </c>
      <c r="N2" s="3">
        <v>78</v>
      </c>
      <c r="O2" s="3">
        <v>5</v>
      </c>
      <c r="P2" s="3">
        <v>1</v>
      </c>
      <c r="Q2" s="3">
        <v>4.8</v>
      </c>
      <c r="R2" s="3">
        <v>9.1999999999999993</v>
      </c>
      <c r="S2" s="3">
        <v>31.95</v>
      </c>
      <c r="T2" s="3">
        <v>2492</v>
      </c>
      <c r="U2" s="3">
        <v>114</v>
      </c>
      <c r="V2" s="3">
        <v>222</v>
      </c>
      <c r="W2" s="3">
        <v>582</v>
      </c>
      <c r="X2" s="3">
        <v>1</v>
      </c>
      <c r="Y2" s="3">
        <v>32</v>
      </c>
      <c r="Z2" s="9" t="s">
        <v>906</v>
      </c>
      <c r="AA2" s="3">
        <v>16.350000000000001</v>
      </c>
    </row>
    <row r="3" spans="1:27" x14ac:dyDescent="0.3">
      <c r="A3" s="4" t="s">
        <v>13</v>
      </c>
      <c r="B3" s="3" t="s">
        <v>4</v>
      </c>
      <c r="C3" s="3" t="s">
        <v>71</v>
      </c>
      <c r="D3" s="3" t="s">
        <v>944</v>
      </c>
      <c r="E3" s="3">
        <v>2356</v>
      </c>
      <c r="F3" s="3">
        <v>134.30000000000001</v>
      </c>
      <c r="G3" s="3">
        <v>28.1</v>
      </c>
      <c r="H3" s="3">
        <v>82</v>
      </c>
      <c r="I3" s="3">
        <v>175</v>
      </c>
      <c r="J3" s="3">
        <v>1754</v>
      </c>
      <c r="K3" s="3">
        <v>516</v>
      </c>
      <c r="L3" s="3">
        <v>0</v>
      </c>
      <c r="M3" s="3">
        <v>5</v>
      </c>
      <c r="N3" s="3">
        <v>143</v>
      </c>
      <c r="O3" s="3">
        <v>12</v>
      </c>
      <c r="P3" s="3">
        <v>0</v>
      </c>
      <c r="Q3" s="3">
        <v>4.2</v>
      </c>
      <c r="R3" s="3">
        <v>7.8</v>
      </c>
      <c r="S3" s="3">
        <v>30.52</v>
      </c>
      <c r="T3" s="3">
        <v>4427</v>
      </c>
      <c r="U3" s="3">
        <v>198</v>
      </c>
      <c r="V3" s="3">
        <v>265</v>
      </c>
      <c r="W3" s="3">
        <v>1116</v>
      </c>
      <c r="X3" s="3">
        <v>2</v>
      </c>
      <c r="Y3" s="3">
        <v>37</v>
      </c>
      <c r="Z3" s="9" t="s">
        <v>906</v>
      </c>
      <c r="AA3" s="3">
        <v>18</v>
      </c>
    </row>
    <row r="4" spans="1:27" x14ac:dyDescent="0.3">
      <c r="A4" s="4" t="s">
        <v>25</v>
      </c>
      <c r="B4" s="3" t="s">
        <v>4</v>
      </c>
      <c r="C4" s="3" t="s">
        <v>71</v>
      </c>
      <c r="D4" s="3" t="s">
        <v>942</v>
      </c>
      <c r="E4" s="3">
        <v>903</v>
      </c>
      <c r="F4" s="3">
        <v>149.80000000000001</v>
      </c>
      <c r="G4" s="3">
        <v>30.48</v>
      </c>
      <c r="H4" s="3">
        <v>57</v>
      </c>
      <c r="I4" s="3">
        <v>56</v>
      </c>
      <c r="J4" s="3">
        <v>603</v>
      </c>
      <c r="K4" s="3">
        <v>191</v>
      </c>
      <c r="L4" s="3">
        <v>0</v>
      </c>
      <c r="M4" s="3">
        <v>6</v>
      </c>
      <c r="N4" s="3">
        <v>31</v>
      </c>
      <c r="O4" s="3">
        <v>2</v>
      </c>
      <c r="P4" s="3">
        <v>0</v>
      </c>
      <c r="Q4" s="3">
        <v>6.3</v>
      </c>
      <c r="R4" s="3">
        <v>9.1</v>
      </c>
      <c r="S4" s="3">
        <v>42.6</v>
      </c>
      <c r="T4" s="3">
        <v>749</v>
      </c>
      <c r="U4" s="3">
        <v>37</v>
      </c>
      <c r="V4" s="3">
        <v>53</v>
      </c>
      <c r="W4" s="3">
        <v>159</v>
      </c>
      <c r="X4" s="3">
        <v>0</v>
      </c>
      <c r="Y4" s="3">
        <v>32</v>
      </c>
      <c r="Z4" s="9" t="s">
        <v>906</v>
      </c>
      <c r="AA4" s="3">
        <v>12</v>
      </c>
    </row>
    <row r="5" spans="1:27" x14ac:dyDescent="0.3">
      <c r="A5" s="4" t="s">
        <v>941</v>
      </c>
      <c r="B5" s="3" t="s">
        <v>4</v>
      </c>
      <c r="C5" s="3" t="s">
        <v>71</v>
      </c>
      <c r="D5" s="3" t="s">
        <v>942</v>
      </c>
      <c r="E5" s="3">
        <v>485</v>
      </c>
      <c r="F5" s="3">
        <v>132.9</v>
      </c>
      <c r="G5" s="3">
        <v>28.52</v>
      </c>
      <c r="H5" s="3">
        <v>25</v>
      </c>
      <c r="I5" s="3">
        <v>31</v>
      </c>
      <c r="J5" s="3">
        <v>365</v>
      </c>
      <c r="K5" s="3">
        <v>124</v>
      </c>
      <c r="L5" s="3">
        <v>0</v>
      </c>
      <c r="M5" s="3">
        <v>2</v>
      </c>
      <c r="N5" s="3">
        <v>5</v>
      </c>
      <c r="O5" s="3">
        <v>0</v>
      </c>
      <c r="P5" s="3">
        <v>0</v>
      </c>
      <c r="Q5" s="3">
        <v>3.6</v>
      </c>
      <c r="R5" s="3">
        <v>11</v>
      </c>
      <c r="S5" s="3">
        <v>50.8</v>
      </c>
      <c r="T5" s="3">
        <v>254</v>
      </c>
      <c r="U5" s="3">
        <v>17</v>
      </c>
      <c r="V5" s="3">
        <v>16</v>
      </c>
      <c r="W5" s="3">
        <v>39</v>
      </c>
      <c r="X5" s="3">
        <v>0</v>
      </c>
      <c r="Y5" s="3">
        <v>22</v>
      </c>
      <c r="Z5" s="9" t="s">
        <v>906</v>
      </c>
      <c r="AA5" s="3">
        <v>6</v>
      </c>
    </row>
    <row r="6" spans="1:27" x14ac:dyDescent="0.3">
      <c r="A6" s="4" t="s">
        <v>15</v>
      </c>
      <c r="B6" s="3" t="s">
        <v>4</v>
      </c>
      <c r="C6" s="3" t="s">
        <v>71</v>
      </c>
      <c r="D6" s="3" t="s">
        <v>944</v>
      </c>
      <c r="E6" s="3">
        <v>1910</v>
      </c>
      <c r="F6" s="3">
        <v>134.19999999999999</v>
      </c>
      <c r="G6" s="3">
        <v>22.02</v>
      </c>
      <c r="H6" s="3">
        <v>94</v>
      </c>
      <c r="I6" s="3">
        <v>129</v>
      </c>
      <c r="J6" s="3">
        <v>1423</v>
      </c>
      <c r="K6" s="3">
        <v>472</v>
      </c>
      <c r="L6" s="3">
        <v>0</v>
      </c>
      <c r="M6" s="3">
        <v>3</v>
      </c>
      <c r="N6" s="3">
        <v>128</v>
      </c>
      <c r="O6" s="3">
        <v>3</v>
      </c>
      <c r="P6" s="3">
        <v>0</v>
      </c>
      <c r="Q6" s="3">
        <v>3.9</v>
      </c>
      <c r="R6" s="3">
        <v>7.3</v>
      </c>
      <c r="S6" s="3">
        <v>31.6</v>
      </c>
      <c r="T6" s="3">
        <v>4052</v>
      </c>
      <c r="U6" s="3">
        <v>168</v>
      </c>
      <c r="V6" s="3">
        <v>259</v>
      </c>
      <c r="W6" s="3">
        <v>1132</v>
      </c>
      <c r="X6" s="3">
        <v>2</v>
      </c>
      <c r="Y6" s="3">
        <v>32</v>
      </c>
      <c r="Z6" s="9" t="s">
        <v>906</v>
      </c>
      <c r="AA6" s="3">
        <v>16.5</v>
      </c>
    </row>
    <row r="7" spans="1:27" x14ac:dyDescent="0.3">
      <c r="A7" s="4" t="s">
        <v>37</v>
      </c>
      <c r="B7" s="3" t="s">
        <v>4</v>
      </c>
      <c r="C7" s="3" t="s">
        <v>71</v>
      </c>
      <c r="D7" s="3" t="s">
        <v>944</v>
      </c>
      <c r="E7" s="3">
        <v>511</v>
      </c>
      <c r="F7" s="3">
        <v>126.2</v>
      </c>
      <c r="G7" s="3">
        <v>15.48</v>
      </c>
      <c r="H7" s="3">
        <v>16</v>
      </c>
      <c r="I7" s="3">
        <v>42</v>
      </c>
      <c r="J7" s="3">
        <v>405</v>
      </c>
      <c r="K7" s="3">
        <v>138</v>
      </c>
      <c r="L7" s="3">
        <v>0</v>
      </c>
      <c r="M7" s="3">
        <v>0</v>
      </c>
      <c r="N7" s="3">
        <v>39</v>
      </c>
      <c r="O7" s="3">
        <v>3</v>
      </c>
      <c r="P7" s="3">
        <v>0</v>
      </c>
      <c r="Q7" s="3">
        <v>3.5</v>
      </c>
      <c r="R7" s="3">
        <v>7.7</v>
      </c>
      <c r="S7" s="3">
        <v>36.82</v>
      </c>
      <c r="T7" s="3">
        <v>1436</v>
      </c>
      <c r="U7" s="3">
        <v>65</v>
      </c>
      <c r="V7" s="3">
        <v>97</v>
      </c>
      <c r="W7" s="3">
        <v>382</v>
      </c>
      <c r="X7" s="3">
        <v>1</v>
      </c>
      <c r="Y7" s="3">
        <v>26</v>
      </c>
      <c r="Z7" s="9" t="s">
        <v>906</v>
      </c>
      <c r="AA7" s="3">
        <v>3.2</v>
      </c>
    </row>
    <row r="8" spans="1:27" x14ac:dyDescent="0.3">
      <c r="A8" s="4" t="s">
        <v>943</v>
      </c>
      <c r="B8" s="3" t="s">
        <v>4</v>
      </c>
      <c r="C8" s="3" t="s">
        <v>71</v>
      </c>
      <c r="D8" s="3" t="s">
        <v>944</v>
      </c>
      <c r="E8" s="3">
        <v>833</v>
      </c>
      <c r="F8" s="3">
        <v>123.2</v>
      </c>
      <c r="G8" s="3">
        <v>13.01</v>
      </c>
      <c r="H8" s="3">
        <v>29</v>
      </c>
      <c r="I8" s="3">
        <v>9</v>
      </c>
      <c r="J8" s="3">
        <v>629</v>
      </c>
      <c r="K8" s="3">
        <v>221</v>
      </c>
      <c r="L8" s="3">
        <v>0</v>
      </c>
      <c r="M8" s="3">
        <v>1</v>
      </c>
      <c r="N8" s="3">
        <v>136</v>
      </c>
      <c r="O8" s="3">
        <v>4</v>
      </c>
      <c r="P8" s="3">
        <v>1</v>
      </c>
      <c r="Q8" s="3">
        <v>3.8</v>
      </c>
      <c r="R8" s="3">
        <v>7.5</v>
      </c>
      <c r="S8" s="3">
        <v>30.22</v>
      </c>
      <c r="T8" s="3">
        <v>4526</v>
      </c>
      <c r="U8" s="3">
        <v>189</v>
      </c>
      <c r="V8" s="3">
        <v>255</v>
      </c>
      <c r="W8" s="3">
        <v>1205</v>
      </c>
      <c r="X8" s="3">
        <v>2</v>
      </c>
      <c r="Y8" s="3">
        <v>39</v>
      </c>
      <c r="Z8" s="9" t="s">
        <v>906</v>
      </c>
      <c r="AA8" s="3">
        <v>9.75</v>
      </c>
    </row>
    <row r="9" spans="1:27" x14ac:dyDescent="0.3">
      <c r="A9" s="4" t="s">
        <v>660</v>
      </c>
      <c r="B9" s="3" t="s">
        <v>4</v>
      </c>
      <c r="C9" s="3" t="s">
        <v>71</v>
      </c>
      <c r="D9" s="3" t="s">
        <v>942</v>
      </c>
      <c r="E9" s="3">
        <v>325</v>
      </c>
      <c r="F9" s="3">
        <v>139.5</v>
      </c>
      <c r="G9" s="3">
        <v>11.6</v>
      </c>
      <c r="H9" s="3">
        <v>13</v>
      </c>
      <c r="I9" s="3">
        <v>30</v>
      </c>
      <c r="J9" s="3">
        <v>233</v>
      </c>
      <c r="K9" s="3">
        <v>83</v>
      </c>
      <c r="L9" s="3">
        <v>0</v>
      </c>
      <c r="M9" s="3">
        <v>1</v>
      </c>
      <c r="N9" s="3">
        <v>107</v>
      </c>
      <c r="O9" s="3">
        <v>6</v>
      </c>
      <c r="P9" s="3">
        <v>0</v>
      </c>
      <c r="Q9" s="3">
        <v>5.2</v>
      </c>
      <c r="R9" s="3">
        <v>9.4</v>
      </c>
      <c r="S9" s="3">
        <v>30.31</v>
      </c>
      <c r="T9" s="3">
        <v>3244</v>
      </c>
      <c r="U9" s="3">
        <v>129</v>
      </c>
      <c r="V9" s="3">
        <v>311</v>
      </c>
      <c r="W9" s="3">
        <v>730</v>
      </c>
      <c r="X9" s="3">
        <v>3</v>
      </c>
      <c r="Y9" s="3">
        <v>34</v>
      </c>
      <c r="Z9" s="9" t="s">
        <v>908</v>
      </c>
      <c r="AA9" s="3">
        <v>2</v>
      </c>
    </row>
    <row r="10" spans="1:27" x14ac:dyDescent="0.3">
      <c r="A10" s="4" t="s">
        <v>682</v>
      </c>
      <c r="B10" s="3" t="s">
        <v>108</v>
      </c>
      <c r="C10" s="3" t="s">
        <v>71</v>
      </c>
      <c r="D10" s="3" t="s">
        <v>944</v>
      </c>
      <c r="E10" s="3">
        <v>1756</v>
      </c>
      <c r="F10" s="3">
        <v>132.5</v>
      </c>
      <c r="G10" s="3">
        <v>22.2</v>
      </c>
      <c r="H10" s="3">
        <v>65</v>
      </c>
      <c r="I10" s="3">
        <v>153</v>
      </c>
      <c r="J10" s="3">
        <v>1325</v>
      </c>
      <c r="K10" s="3">
        <v>491</v>
      </c>
      <c r="L10" s="3">
        <v>0</v>
      </c>
      <c r="M10" s="3">
        <v>2</v>
      </c>
      <c r="N10" s="3">
        <v>93</v>
      </c>
      <c r="O10" s="3">
        <v>8</v>
      </c>
      <c r="P10" s="3">
        <v>0</v>
      </c>
      <c r="Q10" s="3">
        <v>3.9</v>
      </c>
      <c r="R10" s="3">
        <v>7.5</v>
      </c>
      <c r="S10" s="3">
        <v>32.090000000000003</v>
      </c>
      <c r="T10" s="3">
        <v>2985</v>
      </c>
      <c r="U10" s="3">
        <v>103</v>
      </c>
      <c r="V10" s="3">
        <v>206</v>
      </c>
      <c r="W10" s="3">
        <v>788</v>
      </c>
      <c r="X10" s="3">
        <v>1</v>
      </c>
      <c r="Y10" s="3">
        <v>34</v>
      </c>
      <c r="Z10" s="9" t="s">
        <v>908</v>
      </c>
      <c r="AA10" s="3">
        <v>5.75</v>
      </c>
    </row>
    <row r="11" spans="1:27" x14ac:dyDescent="0.3">
      <c r="A11" s="4" t="s">
        <v>945</v>
      </c>
      <c r="B11" s="3" t="s">
        <v>108</v>
      </c>
      <c r="C11" s="3" t="s">
        <v>71</v>
      </c>
      <c r="D11" s="3" t="s">
        <v>942</v>
      </c>
      <c r="E11" s="3">
        <v>1468</v>
      </c>
      <c r="F11" s="3">
        <v>137.30000000000001</v>
      </c>
      <c r="G11" s="3">
        <v>29.95</v>
      </c>
      <c r="H11" s="3">
        <v>65</v>
      </c>
      <c r="I11" s="3">
        <v>136</v>
      </c>
      <c r="J11" s="3">
        <v>1069</v>
      </c>
      <c r="K11" s="3">
        <v>410</v>
      </c>
      <c r="L11" s="3">
        <v>1</v>
      </c>
      <c r="M11" s="3">
        <v>12</v>
      </c>
      <c r="N11" s="3">
        <v>3</v>
      </c>
      <c r="O11" s="3">
        <v>0</v>
      </c>
      <c r="P11" s="3">
        <v>0</v>
      </c>
      <c r="Q11" s="3">
        <v>3.7</v>
      </c>
      <c r="R11" s="3">
        <v>10.6</v>
      </c>
      <c r="S11" s="3">
        <v>47.66</v>
      </c>
      <c r="T11" s="3">
        <v>143</v>
      </c>
      <c r="U11" s="3">
        <v>7</v>
      </c>
      <c r="V11" s="3">
        <v>12</v>
      </c>
      <c r="W11" s="3">
        <v>17</v>
      </c>
      <c r="X11" s="3">
        <v>0</v>
      </c>
      <c r="Y11" s="3">
        <v>31</v>
      </c>
      <c r="Z11" s="9" t="s">
        <v>908</v>
      </c>
      <c r="AA11" s="3">
        <v>7</v>
      </c>
    </row>
    <row r="12" spans="1:27" x14ac:dyDescent="0.3">
      <c r="A12" s="4" t="s">
        <v>38</v>
      </c>
      <c r="B12" s="3" t="s">
        <v>108</v>
      </c>
      <c r="C12" s="3" t="s">
        <v>71</v>
      </c>
      <c r="D12" s="3" t="s">
        <v>944</v>
      </c>
      <c r="E12" s="3">
        <v>1112</v>
      </c>
      <c r="F12" s="3">
        <v>137.1</v>
      </c>
      <c r="G12" s="3">
        <v>23.16</v>
      </c>
      <c r="H12" s="3">
        <v>54</v>
      </c>
      <c r="I12" s="3">
        <v>90</v>
      </c>
      <c r="J12" s="3">
        <v>811</v>
      </c>
      <c r="K12" s="3">
        <v>289</v>
      </c>
      <c r="L12" s="3">
        <v>0</v>
      </c>
      <c r="M12" s="3">
        <v>1</v>
      </c>
      <c r="N12" s="3">
        <v>32</v>
      </c>
      <c r="O12" s="3">
        <v>4</v>
      </c>
      <c r="P12" s="3">
        <v>0</v>
      </c>
      <c r="Q12" s="3">
        <v>3.8</v>
      </c>
      <c r="R12" s="3">
        <v>7.9</v>
      </c>
      <c r="S12" s="3">
        <v>34.71</v>
      </c>
      <c r="T12" s="3">
        <v>1111</v>
      </c>
      <c r="U12" s="3">
        <v>61</v>
      </c>
      <c r="V12" s="3">
        <v>54</v>
      </c>
      <c r="W12" s="3">
        <v>270</v>
      </c>
      <c r="X12" s="3">
        <v>0</v>
      </c>
      <c r="Y12" s="3">
        <v>32</v>
      </c>
      <c r="Z12" s="9" t="s">
        <v>908</v>
      </c>
      <c r="AA12" s="3">
        <v>4</v>
      </c>
    </row>
    <row r="13" spans="1:27" x14ac:dyDescent="0.3">
      <c r="A13" s="4" t="s">
        <v>683</v>
      </c>
      <c r="B13" s="3" t="s">
        <v>108</v>
      </c>
      <c r="C13" s="3" t="s">
        <v>71</v>
      </c>
      <c r="D13" s="3" t="s">
        <v>944</v>
      </c>
      <c r="E13" s="3">
        <v>545</v>
      </c>
      <c r="F13" s="3">
        <v>121.7</v>
      </c>
      <c r="G13" s="3">
        <v>18.79</v>
      </c>
      <c r="H13" s="3">
        <v>25</v>
      </c>
      <c r="I13" s="3">
        <v>29</v>
      </c>
      <c r="J13" s="3">
        <v>448</v>
      </c>
      <c r="K13" s="3">
        <v>156</v>
      </c>
      <c r="L13" s="3">
        <v>0</v>
      </c>
      <c r="M13" s="3">
        <v>1</v>
      </c>
      <c r="N13" s="3">
        <v>22</v>
      </c>
      <c r="O13" s="3">
        <v>2</v>
      </c>
      <c r="P13" s="3">
        <v>0</v>
      </c>
      <c r="Q13" s="3">
        <v>3.7</v>
      </c>
      <c r="R13" s="3">
        <v>9.6</v>
      </c>
      <c r="S13" s="3">
        <v>42.68</v>
      </c>
      <c r="T13" s="3">
        <v>939</v>
      </c>
      <c r="U13" s="3">
        <v>53</v>
      </c>
      <c r="V13" s="3">
        <v>62</v>
      </c>
      <c r="W13" s="3">
        <v>160</v>
      </c>
      <c r="X13" s="3">
        <v>0</v>
      </c>
      <c r="Y13" s="3">
        <v>31</v>
      </c>
      <c r="Z13" s="9" t="s">
        <v>908</v>
      </c>
      <c r="AA13" s="3">
        <v>2.4</v>
      </c>
    </row>
    <row r="14" spans="1:27" x14ac:dyDescent="0.3">
      <c r="A14" s="4" t="s">
        <v>26</v>
      </c>
      <c r="B14" s="3" t="s">
        <v>4</v>
      </c>
      <c r="C14" s="3" t="s">
        <v>71</v>
      </c>
      <c r="D14" s="3" t="s">
        <v>944</v>
      </c>
      <c r="E14" s="3">
        <v>1570</v>
      </c>
      <c r="F14" s="3">
        <v>142</v>
      </c>
      <c r="G14" s="3">
        <v>26.1</v>
      </c>
      <c r="H14" s="3">
        <v>87</v>
      </c>
      <c r="I14" s="3">
        <v>112</v>
      </c>
      <c r="J14" s="3">
        <v>1106</v>
      </c>
      <c r="K14" s="3">
        <v>375</v>
      </c>
      <c r="L14" s="3">
        <v>0</v>
      </c>
      <c r="M14" s="3">
        <v>7</v>
      </c>
      <c r="N14" s="3">
        <v>6</v>
      </c>
      <c r="O14" s="3">
        <v>0</v>
      </c>
      <c r="P14" s="3">
        <v>0</v>
      </c>
      <c r="Q14" s="3">
        <v>2.1</v>
      </c>
      <c r="R14" s="3">
        <v>9.6999999999999993</v>
      </c>
      <c r="S14" s="3">
        <v>68.14</v>
      </c>
      <c r="T14" s="3">
        <v>467</v>
      </c>
      <c r="U14" s="3">
        <v>24</v>
      </c>
      <c r="V14" s="3">
        <v>27</v>
      </c>
      <c r="W14" s="3">
        <v>65</v>
      </c>
      <c r="X14" s="3">
        <v>0</v>
      </c>
      <c r="Y14" s="3">
        <v>24</v>
      </c>
      <c r="Z14" s="9" t="s">
        <v>906</v>
      </c>
      <c r="AA14" s="3">
        <v>14</v>
      </c>
    </row>
    <row r="15" spans="1:27" x14ac:dyDescent="0.3">
      <c r="A15" s="4" t="s">
        <v>946</v>
      </c>
      <c r="B15" s="3" t="s">
        <v>4</v>
      </c>
      <c r="C15" s="3" t="s">
        <v>71</v>
      </c>
      <c r="D15" s="3" t="s">
        <v>942</v>
      </c>
      <c r="E15" s="3">
        <v>217</v>
      </c>
      <c r="F15" s="3">
        <v>158.4</v>
      </c>
      <c r="G15" s="3">
        <v>19.72</v>
      </c>
      <c r="H15" s="3">
        <v>17</v>
      </c>
      <c r="I15" s="3">
        <v>9</v>
      </c>
      <c r="J15" s="3">
        <v>137</v>
      </c>
      <c r="K15" s="3">
        <v>44</v>
      </c>
      <c r="L15" s="3">
        <v>0</v>
      </c>
      <c r="M15" s="3">
        <v>0</v>
      </c>
      <c r="N15" s="3">
        <v>6</v>
      </c>
      <c r="O15" s="3">
        <v>1</v>
      </c>
      <c r="P15" s="3">
        <v>0</v>
      </c>
      <c r="Q15" s="3">
        <v>15</v>
      </c>
      <c r="R15" s="3">
        <v>9.5</v>
      </c>
      <c r="S15" s="3">
        <v>10.5</v>
      </c>
      <c r="T15" s="3">
        <v>63</v>
      </c>
      <c r="U15" s="3">
        <v>3</v>
      </c>
      <c r="V15" s="3">
        <v>5</v>
      </c>
      <c r="W15" s="3">
        <v>13</v>
      </c>
      <c r="X15" s="3">
        <v>0</v>
      </c>
      <c r="Y15" s="3">
        <v>28</v>
      </c>
      <c r="Z15" s="9" t="s">
        <v>906</v>
      </c>
      <c r="AA15" s="3">
        <v>4</v>
      </c>
    </row>
    <row r="16" spans="1:27" x14ac:dyDescent="0.3">
      <c r="A16" s="4" t="s">
        <v>102</v>
      </c>
      <c r="B16" s="3" t="s">
        <v>108</v>
      </c>
      <c r="C16" s="3" t="s">
        <v>71</v>
      </c>
      <c r="D16" s="3" t="s">
        <v>944</v>
      </c>
      <c r="E16" s="3">
        <v>244</v>
      </c>
      <c r="F16" s="3">
        <v>120.2</v>
      </c>
      <c r="G16" s="3">
        <v>20.329999999999998</v>
      </c>
      <c r="H16" s="3">
        <v>10</v>
      </c>
      <c r="I16" s="3">
        <v>19</v>
      </c>
      <c r="J16" s="3">
        <v>203</v>
      </c>
      <c r="K16" s="3">
        <v>82</v>
      </c>
      <c r="L16" s="3">
        <v>0</v>
      </c>
      <c r="M16" s="3">
        <v>0</v>
      </c>
      <c r="N16" s="3">
        <v>35</v>
      </c>
      <c r="O16" s="3">
        <v>3</v>
      </c>
      <c r="P16" s="3">
        <v>0</v>
      </c>
      <c r="Q16" s="3">
        <v>4.3</v>
      </c>
      <c r="R16" s="3">
        <v>8</v>
      </c>
      <c r="S16" s="3">
        <v>31</v>
      </c>
      <c r="T16" s="3">
        <v>1085</v>
      </c>
      <c r="U16" s="3">
        <v>47</v>
      </c>
      <c r="V16" s="3">
        <v>73</v>
      </c>
      <c r="W16" s="3">
        <v>279</v>
      </c>
      <c r="X16" s="3">
        <v>1</v>
      </c>
      <c r="Y16" s="3">
        <v>30</v>
      </c>
      <c r="Z16" s="9" t="s">
        <v>908</v>
      </c>
      <c r="AA16" s="3">
        <v>1.5</v>
      </c>
    </row>
    <row r="17" spans="1:27" x14ac:dyDescent="0.3">
      <c r="A17" s="4" t="s">
        <v>214</v>
      </c>
      <c r="B17" s="3" t="s">
        <v>4</v>
      </c>
      <c r="C17" s="3" t="s">
        <v>300</v>
      </c>
      <c r="D17" s="3" t="s">
        <v>944</v>
      </c>
      <c r="E17" s="3">
        <v>2806</v>
      </c>
      <c r="F17" s="3">
        <v>156.1</v>
      </c>
      <c r="G17" s="3">
        <v>23.89</v>
      </c>
      <c r="H17" s="3">
        <v>161</v>
      </c>
      <c r="I17" s="3">
        <v>236</v>
      </c>
      <c r="J17" s="3">
        <v>1798</v>
      </c>
      <c r="K17" s="3">
        <v>639</v>
      </c>
      <c r="L17" s="3">
        <v>0</v>
      </c>
      <c r="M17" s="3">
        <v>18</v>
      </c>
      <c r="N17" s="3">
        <v>40</v>
      </c>
      <c r="O17" s="3">
        <v>0</v>
      </c>
      <c r="P17" s="3">
        <v>0</v>
      </c>
      <c r="Q17" s="3">
        <v>4</v>
      </c>
      <c r="R17" s="3">
        <v>8.3000000000000007</v>
      </c>
      <c r="S17" s="3">
        <v>34.46</v>
      </c>
      <c r="T17" s="3">
        <v>1391</v>
      </c>
      <c r="U17" s="3">
        <v>79</v>
      </c>
      <c r="V17" s="3">
        <v>78</v>
      </c>
      <c r="W17" s="3">
        <v>331</v>
      </c>
      <c r="X17" s="3">
        <v>1</v>
      </c>
      <c r="Y17" s="3">
        <v>37</v>
      </c>
      <c r="Z17" s="9" t="s">
        <v>906</v>
      </c>
      <c r="AA17" s="3">
        <v>4.2</v>
      </c>
    </row>
    <row r="18" spans="1:27" x14ac:dyDescent="0.3">
      <c r="A18" s="4" t="s">
        <v>220</v>
      </c>
      <c r="B18" s="3" t="s">
        <v>4</v>
      </c>
      <c r="C18" s="3" t="s">
        <v>300</v>
      </c>
      <c r="D18" s="3" t="s">
        <v>942</v>
      </c>
      <c r="E18" s="3">
        <v>2020</v>
      </c>
      <c r="F18" s="3">
        <v>144.80000000000001</v>
      </c>
      <c r="G18" s="3">
        <v>28.14</v>
      </c>
      <c r="H18" s="3">
        <v>106</v>
      </c>
      <c r="I18" s="3">
        <v>157</v>
      </c>
      <c r="J18" s="3">
        <v>1395</v>
      </c>
      <c r="K18" s="3">
        <v>473</v>
      </c>
      <c r="L18" s="3">
        <v>1</v>
      </c>
      <c r="M18" s="3">
        <v>9</v>
      </c>
      <c r="N18" s="3">
        <v>44</v>
      </c>
      <c r="O18" s="3">
        <v>3</v>
      </c>
      <c r="P18" s="3">
        <v>0</v>
      </c>
      <c r="Q18" s="3">
        <v>5</v>
      </c>
      <c r="R18" s="3">
        <v>9.8000000000000007</v>
      </c>
      <c r="S18" s="3">
        <v>32.93</v>
      </c>
      <c r="T18" s="3">
        <v>1449</v>
      </c>
      <c r="U18" s="3">
        <v>71</v>
      </c>
      <c r="V18" s="3">
        <v>117</v>
      </c>
      <c r="W18" s="3">
        <v>262</v>
      </c>
      <c r="X18" s="3">
        <v>0</v>
      </c>
      <c r="Y18" s="3">
        <v>36</v>
      </c>
      <c r="Z18" s="9" t="s">
        <v>906</v>
      </c>
      <c r="AA18" s="3">
        <v>11</v>
      </c>
    </row>
    <row r="19" spans="1:27" x14ac:dyDescent="0.3">
      <c r="A19" s="4" t="s">
        <v>216</v>
      </c>
      <c r="B19" s="3" t="s">
        <v>4</v>
      </c>
      <c r="C19" s="3" t="s">
        <v>300</v>
      </c>
      <c r="D19" s="3" t="s">
        <v>942</v>
      </c>
      <c r="E19" s="3">
        <v>707</v>
      </c>
      <c r="F19" s="3">
        <v>153.69999999999999</v>
      </c>
      <c r="G19" s="3">
        <v>41.59</v>
      </c>
      <c r="H19" s="3">
        <v>32</v>
      </c>
      <c r="I19" s="3">
        <v>62</v>
      </c>
      <c r="J19" s="3">
        <v>460</v>
      </c>
      <c r="K19" s="3">
        <v>132</v>
      </c>
      <c r="L19" s="3">
        <v>1</v>
      </c>
      <c r="M19" s="3">
        <v>2</v>
      </c>
      <c r="N19" s="3">
        <v>16</v>
      </c>
      <c r="O19" s="3">
        <v>0</v>
      </c>
      <c r="P19" s="3">
        <v>0</v>
      </c>
      <c r="Q19" s="3">
        <v>3.6</v>
      </c>
      <c r="R19" s="3">
        <v>9.1</v>
      </c>
      <c r="S19" s="3">
        <v>41.5</v>
      </c>
      <c r="T19" s="3">
        <v>664</v>
      </c>
      <c r="U19" s="3">
        <v>31</v>
      </c>
      <c r="V19" s="3">
        <v>58</v>
      </c>
      <c r="W19" s="3">
        <v>160</v>
      </c>
      <c r="X19" s="3">
        <v>0</v>
      </c>
      <c r="Y19" s="3">
        <v>26</v>
      </c>
      <c r="Z19" s="9" t="s">
        <v>906</v>
      </c>
      <c r="AA19" s="3">
        <v>25.2</v>
      </c>
    </row>
    <row r="20" spans="1:27" x14ac:dyDescent="0.3">
      <c r="A20" s="4" t="s">
        <v>215</v>
      </c>
      <c r="B20" s="3" t="s">
        <v>4</v>
      </c>
      <c r="C20" s="3" t="s">
        <v>300</v>
      </c>
      <c r="D20" s="3" t="s">
        <v>942</v>
      </c>
      <c r="E20" s="3">
        <v>1215</v>
      </c>
      <c r="F20" s="3">
        <v>147.30000000000001</v>
      </c>
      <c r="G20" s="3">
        <v>27.51</v>
      </c>
      <c r="H20" s="3">
        <v>71</v>
      </c>
      <c r="I20" s="3">
        <v>101</v>
      </c>
      <c r="J20" s="3">
        <v>825</v>
      </c>
      <c r="K20" s="3">
        <v>309</v>
      </c>
      <c r="L20" s="3">
        <v>1</v>
      </c>
      <c r="M20" s="3">
        <v>9</v>
      </c>
      <c r="N20" s="3">
        <v>28</v>
      </c>
      <c r="O20" s="3">
        <v>2</v>
      </c>
      <c r="P20" s="3">
        <v>0</v>
      </c>
      <c r="Q20" s="3">
        <v>6.7</v>
      </c>
      <c r="R20" s="3">
        <v>8.8000000000000007</v>
      </c>
      <c r="S20" s="3">
        <v>21.49</v>
      </c>
      <c r="T20" s="3">
        <v>608</v>
      </c>
      <c r="U20" s="3">
        <v>26</v>
      </c>
      <c r="V20" s="3">
        <v>47</v>
      </c>
      <c r="W20" s="3">
        <v>136</v>
      </c>
      <c r="X20" s="3">
        <v>1</v>
      </c>
      <c r="Y20" s="3">
        <v>34</v>
      </c>
      <c r="Z20" s="9" t="s">
        <v>906</v>
      </c>
      <c r="AA20" s="3">
        <v>3.4</v>
      </c>
    </row>
    <row r="21" spans="1:27" x14ac:dyDescent="0.3">
      <c r="A21" s="4" t="s">
        <v>784</v>
      </c>
      <c r="B21" s="3" t="s">
        <v>4</v>
      </c>
      <c r="C21" s="3" t="s">
        <v>300</v>
      </c>
      <c r="D21" s="3" t="s">
        <v>944</v>
      </c>
      <c r="E21" s="3">
        <v>3141</v>
      </c>
      <c r="F21" s="3">
        <v>144.80000000000001</v>
      </c>
      <c r="G21" s="3">
        <v>29.01</v>
      </c>
      <c r="H21" s="3">
        <v>144</v>
      </c>
      <c r="I21" s="3">
        <v>250</v>
      </c>
      <c r="J21" s="3">
        <v>2169</v>
      </c>
      <c r="K21" s="3">
        <v>749</v>
      </c>
      <c r="L21" s="3">
        <v>2</v>
      </c>
      <c r="M21" s="3">
        <v>25</v>
      </c>
      <c r="N21" s="3">
        <v>48</v>
      </c>
      <c r="O21" s="3">
        <v>4</v>
      </c>
      <c r="P21" s="3">
        <v>0</v>
      </c>
      <c r="Q21" s="3">
        <v>4.0999999999999996</v>
      </c>
      <c r="R21" s="3">
        <v>7.6</v>
      </c>
      <c r="S21" s="3">
        <v>22.89</v>
      </c>
      <c r="T21" s="3">
        <v>1488</v>
      </c>
      <c r="U21" s="3">
        <v>40</v>
      </c>
      <c r="V21" s="3">
        <v>112</v>
      </c>
      <c r="W21" s="3">
        <v>393</v>
      </c>
      <c r="X21" s="3">
        <v>0</v>
      </c>
      <c r="Y21" s="3">
        <v>30</v>
      </c>
      <c r="Z21" s="9" t="s">
        <v>906</v>
      </c>
      <c r="AA21" s="3">
        <v>1.5</v>
      </c>
    </row>
    <row r="22" spans="1:27" x14ac:dyDescent="0.3">
      <c r="A22" s="4" t="s">
        <v>239</v>
      </c>
      <c r="B22" s="3" t="s">
        <v>4</v>
      </c>
      <c r="C22" s="3" t="s">
        <v>300</v>
      </c>
      <c r="D22" s="3" t="s">
        <v>942</v>
      </c>
      <c r="E22" s="3">
        <v>1651</v>
      </c>
      <c r="F22" s="3">
        <v>1217</v>
      </c>
      <c r="G22" s="3">
        <v>29.98</v>
      </c>
      <c r="H22" s="3">
        <v>65</v>
      </c>
      <c r="I22" s="3">
        <v>126</v>
      </c>
      <c r="J22" s="3">
        <v>1217</v>
      </c>
      <c r="K22" s="3">
        <v>402</v>
      </c>
      <c r="L22" s="3">
        <v>0</v>
      </c>
      <c r="M22" s="3">
        <v>7</v>
      </c>
      <c r="N22" s="3">
        <v>43</v>
      </c>
      <c r="O22" s="3">
        <v>2</v>
      </c>
      <c r="P22" s="3">
        <v>0</v>
      </c>
      <c r="Q22" s="3">
        <v>5.4</v>
      </c>
      <c r="R22" s="3">
        <v>8.6</v>
      </c>
      <c r="S22" s="3">
        <v>26.05</v>
      </c>
      <c r="T22" s="3">
        <v>1136</v>
      </c>
      <c r="U22" s="3">
        <v>38</v>
      </c>
      <c r="V22" s="3">
        <v>91</v>
      </c>
      <c r="W22" s="3">
        <v>269</v>
      </c>
      <c r="X22" s="3">
        <v>0</v>
      </c>
      <c r="Y22" s="3">
        <v>27</v>
      </c>
      <c r="Z22" s="9" t="s">
        <v>906</v>
      </c>
      <c r="AA22" s="3">
        <v>1.25</v>
      </c>
    </row>
    <row r="23" spans="1:27" x14ac:dyDescent="0.3">
      <c r="A23" s="4" t="s">
        <v>240</v>
      </c>
      <c r="B23" s="3" t="s">
        <v>4</v>
      </c>
      <c r="C23" s="3" t="s">
        <v>300</v>
      </c>
      <c r="D23" s="3" t="s">
        <v>942</v>
      </c>
      <c r="E23" s="3">
        <v>1976</v>
      </c>
      <c r="F23" s="3">
        <v>150.80000000000001</v>
      </c>
      <c r="G23" s="3">
        <v>26.5</v>
      </c>
      <c r="H23" s="3">
        <v>132</v>
      </c>
      <c r="I23" s="3">
        <v>116</v>
      </c>
      <c r="J23" s="3">
        <v>1310</v>
      </c>
      <c r="K23" s="3">
        <v>461</v>
      </c>
      <c r="L23" s="3">
        <v>0</v>
      </c>
      <c r="M23" s="3">
        <v>6</v>
      </c>
      <c r="N23" s="3">
        <v>232</v>
      </c>
      <c r="O23" s="3">
        <v>28</v>
      </c>
      <c r="P23" s="3">
        <v>1</v>
      </c>
      <c r="Q23" s="3">
        <v>6.3</v>
      </c>
      <c r="R23" s="3">
        <v>8.8000000000000007</v>
      </c>
      <c r="S23" s="3">
        <v>37.36</v>
      </c>
      <c r="T23" s="3">
        <v>5377</v>
      </c>
      <c r="U23" s="3">
        <v>219</v>
      </c>
      <c r="V23" s="3">
        <v>483</v>
      </c>
      <c r="W23" s="3">
        <v>1337</v>
      </c>
      <c r="X23" s="3">
        <v>5</v>
      </c>
      <c r="Y23" s="3">
        <v>33</v>
      </c>
      <c r="Z23" s="9" t="s">
        <v>906</v>
      </c>
      <c r="AA23" s="3">
        <v>0</v>
      </c>
    </row>
    <row r="24" spans="1:27" x14ac:dyDescent="0.3">
      <c r="A24" s="4" t="s">
        <v>759</v>
      </c>
      <c r="B24" s="3" t="s">
        <v>4</v>
      </c>
      <c r="C24" s="3" t="s">
        <v>300</v>
      </c>
      <c r="D24" s="3" t="s">
        <v>942</v>
      </c>
      <c r="E24" s="3">
        <v>1039</v>
      </c>
      <c r="F24" s="3">
        <v>133.69999999999999</v>
      </c>
      <c r="G24" s="3">
        <v>17.86</v>
      </c>
      <c r="H24" s="3">
        <v>52</v>
      </c>
      <c r="I24" s="3">
        <v>57</v>
      </c>
      <c r="J24" s="3">
        <v>777</v>
      </c>
      <c r="K24" s="3">
        <v>246</v>
      </c>
      <c r="L24" s="3">
        <v>0</v>
      </c>
      <c r="M24" s="3">
        <v>4</v>
      </c>
      <c r="N24" s="3">
        <v>56</v>
      </c>
      <c r="O24" s="3">
        <v>5</v>
      </c>
      <c r="P24" s="3">
        <v>0</v>
      </c>
      <c r="Q24" s="3">
        <v>4.2</v>
      </c>
      <c r="R24" s="3">
        <v>9.1</v>
      </c>
      <c r="S24" s="3">
        <v>17.329999999999998</v>
      </c>
      <c r="T24" s="3">
        <v>2046</v>
      </c>
      <c r="U24" s="3">
        <v>84</v>
      </c>
      <c r="V24" s="3">
        <v>172</v>
      </c>
      <c r="W24" s="3">
        <v>457</v>
      </c>
      <c r="X24" s="3">
        <v>1</v>
      </c>
      <c r="Y24" s="3">
        <v>26</v>
      </c>
      <c r="Z24" s="9" t="s">
        <v>908</v>
      </c>
      <c r="AA24" s="3">
        <v>0</v>
      </c>
    </row>
    <row r="25" spans="1:27" x14ac:dyDescent="0.3">
      <c r="A25" s="4" t="s">
        <v>777</v>
      </c>
      <c r="B25" s="3" t="s">
        <v>4</v>
      </c>
      <c r="C25" s="3" t="s">
        <v>300</v>
      </c>
      <c r="D25" s="3" t="s">
        <v>942</v>
      </c>
      <c r="E25" s="3">
        <v>2879</v>
      </c>
      <c r="F25" s="3">
        <v>144.30000000000001</v>
      </c>
      <c r="G25" s="3">
        <v>21.64</v>
      </c>
      <c r="H25" s="3">
        <v>180</v>
      </c>
      <c r="I25" s="3">
        <v>197</v>
      </c>
      <c r="J25" s="3">
        <v>1995</v>
      </c>
      <c r="K25" s="3">
        <v>671</v>
      </c>
      <c r="L25" s="3">
        <v>0</v>
      </c>
      <c r="M25" s="3">
        <v>8</v>
      </c>
      <c r="N25" s="3">
        <v>101</v>
      </c>
      <c r="O25" s="3">
        <v>4</v>
      </c>
      <c r="P25" s="3">
        <v>0</v>
      </c>
      <c r="Q25" s="3">
        <v>4.8</v>
      </c>
      <c r="R25" s="3">
        <v>9.1</v>
      </c>
      <c r="S25" s="3">
        <v>32.5</v>
      </c>
      <c r="T25" s="3">
        <v>3161</v>
      </c>
      <c r="U25" s="3">
        <v>82</v>
      </c>
      <c r="V25" s="3">
        <v>196</v>
      </c>
      <c r="W25" s="3">
        <v>442</v>
      </c>
      <c r="X25" s="3">
        <v>1</v>
      </c>
      <c r="Y25" s="3">
        <v>39</v>
      </c>
      <c r="Z25" s="9" t="s">
        <v>906</v>
      </c>
      <c r="AA25" s="3">
        <v>0</v>
      </c>
    </row>
    <row r="26" spans="1:27" x14ac:dyDescent="0.3">
      <c r="A26" s="4" t="s">
        <v>745</v>
      </c>
      <c r="B26" s="3" t="s">
        <v>4</v>
      </c>
      <c r="C26" s="3" t="s">
        <v>300</v>
      </c>
      <c r="D26" s="3" t="s">
        <v>944</v>
      </c>
      <c r="E26" s="3">
        <v>1139</v>
      </c>
      <c r="F26" s="3">
        <v>124.8</v>
      </c>
      <c r="G26" s="3">
        <v>17</v>
      </c>
      <c r="H26" s="3">
        <v>57</v>
      </c>
      <c r="I26" s="3">
        <v>64</v>
      </c>
      <c r="J26" s="3">
        <v>913</v>
      </c>
      <c r="K26" s="3">
        <v>312</v>
      </c>
      <c r="L26" s="3">
        <v>0</v>
      </c>
      <c r="M26" s="3">
        <v>2</v>
      </c>
      <c r="N26" s="3">
        <v>131</v>
      </c>
      <c r="O26" s="3">
        <v>4</v>
      </c>
      <c r="P26" s="3">
        <v>0</v>
      </c>
      <c r="Q26" s="3">
        <v>3.9</v>
      </c>
      <c r="R26" s="3">
        <v>7.6</v>
      </c>
      <c r="S26" s="3">
        <v>23.04</v>
      </c>
      <c r="T26" s="3">
        <v>3172</v>
      </c>
      <c r="U26" s="3">
        <v>136</v>
      </c>
      <c r="V26" s="3">
        <v>148</v>
      </c>
      <c r="W26" s="3">
        <v>773</v>
      </c>
      <c r="X26" s="3">
        <v>3</v>
      </c>
      <c r="Y26" s="3">
        <v>32</v>
      </c>
      <c r="Z26" s="9" t="s">
        <v>906</v>
      </c>
      <c r="AA26" s="3">
        <v>0</v>
      </c>
    </row>
    <row r="27" spans="1:27" x14ac:dyDescent="0.3">
      <c r="A27" s="4" t="s">
        <v>125</v>
      </c>
      <c r="B27" s="3" t="s">
        <v>4</v>
      </c>
      <c r="C27" s="3" t="s">
        <v>208</v>
      </c>
      <c r="D27" s="3" t="s">
        <v>944</v>
      </c>
      <c r="E27" s="3">
        <v>463</v>
      </c>
      <c r="F27" s="3">
        <v>152.80000000000001</v>
      </c>
      <c r="G27" s="29">
        <f>E27/17</f>
        <v>27.235294117647058</v>
      </c>
      <c r="H27" s="3">
        <v>29</v>
      </c>
      <c r="I27" s="3">
        <v>38</v>
      </c>
      <c r="J27" s="3">
        <v>303</v>
      </c>
      <c r="K27" s="3">
        <v>110</v>
      </c>
      <c r="L27" s="3">
        <v>1</v>
      </c>
      <c r="M27" s="3">
        <v>2</v>
      </c>
      <c r="N27" s="3">
        <v>8</v>
      </c>
      <c r="O27" s="3">
        <v>0</v>
      </c>
      <c r="P27" s="3">
        <v>0</v>
      </c>
      <c r="Q27" s="3">
        <v>5.8</v>
      </c>
      <c r="R27" s="3">
        <v>9.6</v>
      </c>
      <c r="S27" s="3">
        <f>T27/N27</f>
        <v>27.5</v>
      </c>
      <c r="T27" s="3">
        <v>220</v>
      </c>
      <c r="U27" s="3">
        <v>11</v>
      </c>
      <c r="V27" s="3">
        <v>17</v>
      </c>
      <c r="W27" s="3">
        <v>43</v>
      </c>
      <c r="X27" s="3">
        <v>0</v>
      </c>
      <c r="Y27" s="3">
        <v>27</v>
      </c>
      <c r="Z27" s="9" t="s">
        <v>906</v>
      </c>
      <c r="AA27" s="3">
        <v>5.25</v>
      </c>
    </row>
    <row r="28" spans="1:27" x14ac:dyDescent="0.3">
      <c r="A28" s="4" t="s">
        <v>124</v>
      </c>
      <c r="B28" s="3" t="s">
        <v>4</v>
      </c>
      <c r="C28" s="3" t="s">
        <v>208</v>
      </c>
      <c r="D28" s="3" t="s">
        <v>942</v>
      </c>
      <c r="E28" s="3">
        <v>997</v>
      </c>
      <c r="F28" s="3">
        <v>136.6</v>
      </c>
      <c r="G28" s="29">
        <f>E28/40</f>
        <v>24.925000000000001</v>
      </c>
      <c r="H28" s="3">
        <v>41</v>
      </c>
      <c r="I28" s="3">
        <v>85</v>
      </c>
      <c r="J28" s="3">
        <v>730</v>
      </c>
      <c r="K28" s="3">
        <v>250</v>
      </c>
      <c r="L28" s="3">
        <v>0</v>
      </c>
      <c r="M28" s="3">
        <v>6</v>
      </c>
      <c r="N28" s="3">
        <v>59</v>
      </c>
      <c r="O28" s="3">
        <v>6</v>
      </c>
      <c r="P28" s="3">
        <v>0</v>
      </c>
      <c r="Q28" s="3">
        <v>4.7</v>
      </c>
      <c r="R28" s="3">
        <v>9.6999999999999993</v>
      </c>
      <c r="S28" s="29">
        <f>ROUND(T28/N28,2)</f>
        <v>34.46</v>
      </c>
      <c r="T28" s="3">
        <v>2033</v>
      </c>
      <c r="U28" s="3">
        <v>89</v>
      </c>
      <c r="V28" s="3">
        <v>197</v>
      </c>
      <c r="W28" s="3">
        <v>415</v>
      </c>
      <c r="X28" s="3">
        <v>0</v>
      </c>
      <c r="Y28" s="3">
        <v>27</v>
      </c>
      <c r="Z28" s="9" t="s">
        <v>906</v>
      </c>
      <c r="AA28" s="3">
        <v>2.4</v>
      </c>
    </row>
    <row r="29" spans="1:27" x14ac:dyDescent="0.3">
      <c r="A29" s="4" t="s">
        <v>827</v>
      </c>
      <c r="B29" s="3" t="s">
        <v>4</v>
      </c>
      <c r="C29" s="3" t="s">
        <v>208</v>
      </c>
      <c r="D29" s="3" t="s">
        <v>944</v>
      </c>
      <c r="E29" s="3">
        <v>797</v>
      </c>
      <c r="F29" s="3">
        <v>123.5</v>
      </c>
      <c r="G29" s="29">
        <f>E29/78</f>
        <v>10.217948717948717</v>
      </c>
      <c r="H29" s="3">
        <v>61</v>
      </c>
      <c r="I29" s="3">
        <v>132</v>
      </c>
      <c r="J29" s="3">
        <v>1455</v>
      </c>
      <c r="K29" s="3">
        <v>373</v>
      </c>
      <c r="L29" s="3">
        <v>0</v>
      </c>
      <c r="M29" s="3">
        <v>5</v>
      </c>
      <c r="N29" s="3">
        <v>160</v>
      </c>
      <c r="O29" s="3">
        <v>10</v>
      </c>
      <c r="P29" s="3">
        <v>0</v>
      </c>
      <c r="Q29" s="3">
        <v>4.7</v>
      </c>
      <c r="R29" s="3">
        <v>7.4</v>
      </c>
      <c r="S29" s="29">
        <f t="shared" ref="S29:S75" si="0">ROUND(T29/N29,2)</f>
        <v>26.25</v>
      </c>
      <c r="T29" s="3">
        <v>4200</v>
      </c>
      <c r="U29" s="3">
        <v>131</v>
      </c>
      <c r="V29" s="3">
        <v>220</v>
      </c>
      <c r="W29" s="3">
        <v>935</v>
      </c>
      <c r="X29" s="3">
        <v>6</v>
      </c>
      <c r="Y29" s="3">
        <v>35</v>
      </c>
      <c r="Z29" s="9" t="s">
        <v>906</v>
      </c>
      <c r="AA29" s="3">
        <v>1.56</v>
      </c>
    </row>
    <row r="30" spans="1:27" x14ac:dyDescent="0.3">
      <c r="A30" s="4" t="s">
        <v>803</v>
      </c>
      <c r="B30" s="3" t="s">
        <v>4</v>
      </c>
      <c r="C30" s="3" t="s">
        <v>208</v>
      </c>
      <c r="D30" s="3" t="s">
        <v>942</v>
      </c>
      <c r="E30" s="3">
        <v>1148</v>
      </c>
      <c r="F30" s="3">
        <v>153.69999999999999</v>
      </c>
      <c r="G30" s="29">
        <f>E30/57</f>
        <v>20.140350877192983</v>
      </c>
      <c r="H30" s="3">
        <v>64</v>
      </c>
      <c r="I30" s="3">
        <v>77</v>
      </c>
      <c r="J30" s="3">
        <v>747</v>
      </c>
      <c r="K30" s="3">
        <v>235</v>
      </c>
      <c r="L30" s="3">
        <v>0</v>
      </c>
      <c r="M30" s="3">
        <v>0</v>
      </c>
      <c r="N30" s="3">
        <v>85</v>
      </c>
      <c r="O30" s="3">
        <v>9</v>
      </c>
      <c r="P30" s="3">
        <v>1</v>
      </c>
      <c r="Q30" s="3">
        <v>5.4</v>
      </c>
      <c r="R30" s="3">
        <v>9</v>
      </c>
      <c r="S30" s="29">
        <f t="shared" si="0"/>
        <v>27.66</v>
      </c>
      <c r="T30" s="3">
        <v>2351</v>
      </c>
      <c r="U30" s="3">
        <v>65</v>
      </c>
      <c r="V30" s="3">
        <v>181</v>
      </c>
      <c r="W30" s="3">
        <v>469</v>
      </c>
      <c r="X30" s="3">
        <v>1</v>
      </c>
      <c r="Y30" s="3">
        <v>31</v>
      </c>
      <c r="Z30" s="9" t="s">
        <v>906</v>
      </c>
      <c r="AA30" s="3">
        <v>1.5</v>
      </c>
    </row>
    <row r="31" spans="1:27" x14ac:dyDescent="0.3">
      <c r="A31" s="4" t="s">
        <v>826</v>
      </c>
      <c r="B31" s="3" t="s">
        <v>4</v>
      </c>
      <c r="C31" s="3" t="s">
        <v>208</v>
      </c>
      <c r="D31" s="3" t="s">
        <v>942</v>
      </c>
      <c r="E31" s="3">
        <v>1755</v>
      </c>
      <c r="F31" s="3">
        <v>145.6</v>
      </c>
      <c r="G31" s="29">
        <f>E31/79</f>
        <v>22.215189873417721</v>
      </c>
      <c r="H31" s="3">
        <v>59</v>
      </c>
      <c r="I31" s="3">
        <v>168</v>
      </c>
      <c r="J31" s="3">
        <v>1205</v>
      </c>
      <c r="K31" s="3">
        <v>341</v>
      </c>
      <c r="L31" s="3">
        <v>0</v>
      </c>
      <c r="M31" s="3">
        <v>4</v>
      </c>
      <c r="N31" s="3">
        <v>168</v>
      </c>
      <c r="O31" s="3">
        <v>21</v>
      </c>
      <c r="P31" s="3">
        <v>3</v>
      </c>
      <c r="Q31" s="3">
        <v>6.3</v>
      </c>
      <c r="R31" s="3">
        <v>8.5</v>
      </c>
      <c r="S31" s="29">
        <f t="shared" si="0"/>
        <v>22.78</v>
      </c>
      <c r="T31" s="3">
        <v>3827</v>
      </c>
      <c r="U31" s="3">
        <v>113</v>
      </c>
      <c r="V31" s="3">
        <v>297</v>
      </c>
      <c r="W31" s="3">
        <v>824</v>
      </c>
      <c r="X31" s="3">
        <v>3</v>
      </c>
      <c r="Y31" s="3">
        <v>31</v>
      </c>
      <c r="Z31" s="9" t="s">
        <v>906</v>
      </c>
      <c r="AA31" s="3">
        <v>1.39</v>
      </c>
    </row>
    <row r="32" spans="1:27" x14ac:dyDescent="0.3">
      <c r="A32" s="18" t="s">
        <v>649</v>
      </c>
      <c r="B32" s="20" t="s">
        <v>4</v>
      </c>
      <c r="C32" s="20" t="s">
        <v>208</v>
      </c>
      <c r="D32" s="3" t="s">
        <v>942</v>
      </c>
      <c r="E32" s="3">
        <v>662</v>
      </c>
      <c r="F32" s="3">
        <v>143</v>
      </c>
      <c r="G32" s="29">
        <f>E32/34</f>
        <v>19.470588235294116</v>
      </c>
      <c r="H32" s="3">
        <v>29</v>
      </c>
      <c r="I32" s="3">
        <v>38</v>
      </c>
      <c r="J32" s="3">
        <v>463</v>
      </c>
      <c r="K32" s="3">
        <v>131</v>
      </c>
      <c r="L32" s="3">
        <v>0</v>
      </c>
      <c r="M32" s="3">
        <v>2</v>
      </c>
      <c r="N32" s="3">
        <v>32</v>
      </c>
      <c r="O32" s="3">
        <v>1</v>
      </c>
      <c r="P32" s="3">
        <v>0</v>
      </c>
      <c r="Q32" s="3">
        <v>3.4</v>
      </c>
      <c r="R32" s="3">
        <v>8.9</v>
      </c>
      <c r="S32" s="29">
        <f t="shared" si="0"/>
        <v>43.44</v>
      </c>
      <c r="T32" s="3">
        <v>1390</v>
      </c>
      <c r="U32" s="3">
        <v>49</v>
      </c>
      <c r="V32" s="3">
        <v>127</v>
      </c>
      <c r="W32" s="3">
        <v>353</v>
      </c>
      <c r="X32" s="3">
        <v>1</v>
      </c>
      <c r="Y32" s="3">
        <v>30</v>
      </c>
      <c r="Z32" s="9" t="s">
        <v>906</v>
      </c>
      <c r="AA32" s="3">
        <v>1</v>
      </c>
    </row>
    <row r="33" spans="1:27" x14ac:dyDescent="0.3">
      <c r="A33" s="4" t="s">
        <v>170</v>
      </c>
      <c r="B33" s="3" t="s">
        <v>4</v>
      </c>
      <c r="C33" s="3" t="s">
        <v>208</v>
      </c>
      <c r="D33" s="3" t="s">
        <v>942</v>
      </c>
      <c r="E33" s="3">
        <v>1122</v>
      </c>
      <c r="F33" s="3">
        <v>157.1</v>
      </c>
      <c r="G33" s="29">
        <f>E33/56</f>
        <v>20.035714285714285</v>
      </c>
      <c r="H33" s="3">
        <v>82</v>
      </c>
      <c r="I33" s="3">
        <v>58</v>
      </c>
      <c r="J33" s="3">
        <v>714</v>
      </c>
      <c r="K33" s="3">
        <v>218</v>
      </c>
      <c r="L33" s="3">
        <v>0</v>
      </c>
      <c r="M33" s="3">
        <v>5</v>
      </c>
      <c r="N33" s="3">
        <v>110</v>
      </c>
      <c r="O33" s="3">
        <v>9</v>
      </c>
      <c r="P33" s="3">
        <v>0</v>
      </c>
      <c r="Q33" s="3">
        <v>6.2</v>
      </c>
      <c r="R33" s="3">
        <v>9.4</v>
      </c>
      <c r="S33" s="29">
        <f t="shared" si="0"/>
        <v>25.36</v>
      </c>
      <c r="T33" s="3">
        <v>2790</v>
      </c>
      <c r="U33" s="3">
        <v>108</v>
      </c>
      <c r="V33" s="31">
        <v>206</v>
      </c>
      <c r="W33" s="3">
        <v>500</v>
      </c>
      <c r="X33" s="3">
        <v>0</v>
      </c>
      <c r="Y33" s="3">
        <v>29</v>
      </c>
      <c r="Z33" s="9" t="s">
        <v>906</v>
      </c>
      <c r="AA33" s="3">
        <v>0.44</v>
      </c>
    </row>
    <row r="34" spans="1:27" x14ac:dyDescent="0.3">
      <c r="A34" s="4" t="s">
        <v>394</v>
      </c>
      <c r="B34" s="3" t="s">
        <v>4</v>
      </c>
      <c r="C34" s="3" t="s">
        <v>623</v>
      </c>
      <c r="D34" s="3" t="s">
        <v>944</v>
      </c>
      <c r="E34" s="3">
        <v>413</v>
      </c>
      <c r="F34" s="3">
        <v>143.9</v>
      </c>
      <c r="G34" s="29">
        <f>E34/17</f>
        <v>24.294117647058822</v>
      </c>
      <c r="H34" s="3">
        <v>16</v>
      </c>
      <c r="I34" s="3">
        <v>40</v>
      </c>
      <c r="J34" s="3">
        <v>287</v>
      </c>
      <c r="K34" s="3">
        <v>95</v>
      </c>
      <c r="L34" s="3">
        <v>0</v>
      </c>
      <c r="M34" s="3">
        <v>2</v>
      </c>
      <c r="N34" s="3">
        <v>50</v>
      </c>
      <c r="O34" s="3">
        <v>3</v>
      </c>
      <c r="P34" s="3">
        <v>0</v>
      </c>
      <c r="Q34" s="3">
        <v>5.5</v>
      </c>
      <c r="R34" s="3">
        <v>7.6</v>
      </c>
      <c r="S34" s="29">
        <f t="shared" si="0"/>
        <v>22.78</v>
      </c>
      <c r="T34" s="3">
        <v>1139</v>
      </c>
      <c r="U34" s="3">
        <v>37</v>
      </c>
      <c r="V34" s="3">
        <v>89</v>
      </c>
      <c r="W34" s="3">
        <v>298</v>
      </c>
      <c r="X34" s="3">
        <v>2</v>
      </c>
      <c r="Y34" s="3">
        <v>26</v>
      </c>
      <c r="Z34" s="9" t="s">
        <v>906</v>
      </c>
      <c r="AA34" s="3">
        <v>2</v>
      </c>
    </row>
    <row r="35" spans="1:27" x14ac:dyDescent="0.3">
      <c r="A35" s="4" t="s">
        <v>393</v>
      </c>
      <c r="B35" s="3" t="s">
        <v>4</v>
      </c>
      <c r="C35" s="3" t="s">
        <v>623</v>
      </c>
      <c r="D35" s="3" t="s">
        <v>944</v>
      </c>
      <c r="E35" s="3">
        <v>3829</v>
      </c>
      <c r="F35" s="3">
        <v>141.9</v>
      </c>
      <c r="G35" s="29">
        <f>E35/103</f>
        <v>37.174757281553397</v>
      </c>
      <c r="H35" s="3">
        <v>222</v>
      </c>
      <c r="I35" s="3">
        <v>274</v>
      </c>
      <c r="J35" s="3">
        <v>2698</v>
      </c>
      <c r="K35" s="3">
        <v>857</v>
      </c>
      <c r="L35" s="3">
        <v>2</v>
      </c>
      <c r="M35" s="3">
        <v>26</v>
      </c>
      <c r="N35" s="3">
        <v>21</v>
      </c>
      <c r="O35" s="3">
        <v>0</v>
      </c>
      <c r="P35" s="3">
        <v>0</v>
      </c>
      <c r="Q35" s="3">
        <v>4.8</v>
      </c>
      <c r="R35" s="3">
        <v>8.6</v>
      </c>
      <c r="S35" s="29">
        <f t="shared" si="0"/>
        <v>30.05</v>
      </c>
      <c r="T35" s="3">
        <v>631</v>
      </c>
      <c r="U35" s="3">
        <v>36</v>
      </c>
      <c r="V35" s="3">
        <v>34</v>
      </c>
      <c r="W35" s="3">
        <v>132</v>
      </c>
      <c r="X35" s="3">
        <v>0</v>
      </c>
      <c r="Y35" s="3">
        <v>29</v>
      </c>
      <c r="Z35" s="9" t="s">
        <v>906</v>
      </c>
      <c r="AA35" s="3">
        <v>2</v>
      </c>
    </row>
    <row r="36" spans="1:27" x14ac:dyDescent="0.3">
      <c r="A36" s="4" t="s">
        <v>390</v>
      </c>
      <c r="B36" s="3" t="s">
        <v>4</v>
      </c>
      <c r="C36" s="3" t="s">
        <v>623</v>
      </c>
      <c r="D36" s="3" t="s">
        <v>942</v>
      </c>
      <c r="E36" s="3">
        <v>1783</v>
      </c>
      <c r="F36" s="3">
        <v>142.1</v>
      </c>
      <c r="G36" s="29">
        <f>E36/48</f>
        <v>37.145833333333336</v>
      </c>
      <c r="H36" s="3">
        <v>67</v>
      </c>
      <c r="I36" s="3">
        <v>127</v>
      </c>
      <c r="J36" s="3">
        <v>1255</v>
      </c>
      <c r="K36" s="3">
        <v>324</v>
      </c>
      <c r="L36" s="3">
        <v>0</v>
      </c>
      <c r="M36" s="3">
        <v>11</v>
      </c>
      <c r="N36" s="3">
        <v>40</v>
      </c>
      <c r="O36" s="3">
        <v>1</v>
      </c>
      <c r="P36" s="3">
        <v>0</v>
      </c>
      <c r="Q36" s="3">
        <v>5.8</v>
      </c>
      <c r="R36" s="3">
        <v>9.4</v>
      </c>
      <c r="S36" s="29">
        <f t="shared" si="0"/>
        <v>26.9</v>
      </c>
      <c r="T36" s="3">
        <v>1076</v>
      </c>
      <c r="U36" s="3">
        <v>39</v>
      </c>
      <c r="V36" s="3">
        <v>91</v>
      </c>
      <c r="W36" s="3">
        <v>183</v>
      </c>
      <c r="X36" s="3">
        <v>0</v>
      </c>
      <c r="Y36" s="3">
        <v>34</v>
      </c>
      <c r="Z36" s="9" t="s">
        <v>906</v>
      </c>
      <c r="AA36" s="3">
        <v>2.4</v>
      </c>
    </row>
    <row r="37" spans="1:27" x14ac:dyDescent="0.3">
      <c r="A37" s="4" t="s">
        <v>845</v>
      </c>
      <c r="B37" s="3" t="s">
        <v>4</v>
      </c>
      <c r="C37" s="3" t="s">
        <v>623</v>
      </c>
      <c r="D37" s="3" t="s">
        <v>942</v>
      </c>
      <c r="E37" s="3">
        <v>2781</v>
      </c>
      <c r="F37" s="3">
        <v>139.19999999999999</v>
      </c>
      <c r="G37" s="29">
        <f>E37/104</f>
        <v>26.740384615384617</v>
      </c>
      <c r="H37" s="3">
        <v>128</v>
      </c>
      <c r="I37" s="3">
        <v>217</v>
      </c>
      <c r="J37" s="3">
        <v>1998</v>
      </c>
      <c r="K37" s="3">
        <v>604</v>
      </c>
      <c r="L37" s="3">
        <v>0</v>
      </c>
      <c r="M37" s="3">
        <v>12</v>
      </c>
      <c r="N37" s="3">
        <v>154</v>
      </c>
      <c r="O37" s="3">
        <v>11</v>
      </c>
      <c r="P37" s="3">
        <v>0</v>
      </c>
      <c r="Q37" s="3">
        <v>5.7</v>
      </c>
      <c r="R37" s="3">
        <v>9.1</v>
      </c>
      <c r="S37" s="29">
        <f t="shared" si="0"/>
        <v>26.45</v>
      </c>
      <c r="T37" s="3">
        <v>4074</v>
      </c>
      <c r="U37" s="3">
        <v>137</v>
      </c>
      <c r="V37" s="3">
        <v>334</v>
      </c>
      <c r="W37" s="3">
        <v>824</v>
      </c>
      <c r="X37" s="3">
        <v>0</v>
      </c>
      <c r="Y37" s="3">
        <v>35</v>
      </c>
      <c r="Z37" s="9" t="s">
        <v>906</v>
      </c>
      <c r="AA37" s="3">
        <v>0</v>
      </c>
    </row>
    <row r="38" spans="1:27" x14ac:dyDescent="0.3">
      <c r="A38" s="4" t="s">
        <v>404</v>
      </c>
      <c r="B38" s="3" t="s">
        <v>4</v>
      </c>
      <c r="C38" s="3" t="s">
        <v>623</v>
      </c>
      <c r="D38" s="3" t="s">
        <v>944</v>
      </c>
      <c r="E38" s="3">
        <v>1797</v>
      </c>
      <c r="F38" s="3">
        <v>143</v>
      </c>
      <c r="G38" s="29">
        <f>E38/61</f>
        <v>29.459016393442624</v>
      </c>
      <c r="H38" s="3">
        <v>84</v>
      </c>
      <c r="I38" s="3">
        <v>142</v>
      </c>
      <c r="J38" s="3">
        <v>1257</v>
      </c>
      <c r="K38" s="3">
        <v>425</v>
      </c>
      <c r="L38" s="3">
        <v>1</v>
      </c>
      <c r="M38" s="3">
        <v>11</v>
      </c>
      <c r="N38" s="3">
        <v>49</v>
      </c>
      <c r="O38" s="3">
        <v>1</v>
      </c>
      <c r="P38" s="3">
        <v>0</v>
      </c>
      <c r="Q38" s="3">
        <v>5</v>
      </c>
      <c r="R38" s="3">
        <v>8.6999999999999993</v>
      </c>
      <c r="S38" s="29">
        <f t="shared" si="0"/>
        <v>29.24</v>
      </c>
      <c r="T38" s="3">
        <v>1433</v>
      </c>
      <c r="U38" s="3">
        <v>70</v>
      </c>
      <c r="V38" s="3">
        <v>103</v>
      </c>
      <c r="W38" s="3">
        <v>321</v>
      </c>
      <c r="X38" s="3">
        <v>1</v>
      </c>
      <c r="Y38" s="3">
        <v>34</v>
      </c>
      <c r="Z38" s="9" t="s">
        <v>906</v>
      </c>
      <c r="AA38" s="3">
        <v>1.39</v>
      </c>
    </row>
    <row r="39" spans="1:27" x14ac:dyDescent="0.3">
      <c r="A39" s="4" t="s">
        <v>406</v>
      </c>
      <c r="B39" s="3" t="s">
        <v>4</v>
      </c>
      <c r="C39" s="3" t="s">
        <v>623</v>
      </c>
      <c r="D39" s="3" t="s">
        <v>944</v>
      </c>
      <c r="E39" s="3">
        <v>1573</v>
      </c>
      <c r="F39" s="3">
        <v>126.4</v>
      </c>
      <c r="G39" s="29">
        <f>E39/68</f>
        <v>23.132352941176471</v>
      </c>
      <c r="H39" s="3">
        <v>47</v>
      </c>
      <c r="I39" s="3">
        <v>130</v>
      </c>
      <c r="J39" s="3">
        <v>1244</v>
      </c>
      <c r="K39" s="3">
        <v>427</v>
      </c>
      <c r="L39" s="3">
        <v>0</v>
      </c>
      <c r="M39" s="3">
        <v>8</v>
      </c>
      <c r="N39" s="3">
        <v>58</v>
      </c>
      <c r="O39" s="3">
        <v>3</v>
      </c>
      <c r="P39" s="3">
        <v>0</v>
      </c>
      <c r="Q39" s="3">
        <v>4.4000000000000004</v>
      </c>
      <c r="R39" s="3">
        <v>7.5</v>
      </c>
      <c r="S39" s="29">
        <f t="shared" si="0"/>
        <v>28.26</v>
      </c>
      <c r="T39" s="3">
        <v>1639</v>
      </c>
      <c r="U39" s="3">
        <v>54</v>
      </c>
      <c r="V39" s="3">
        <v>114</v>
      </c>
      <c r="W39" s="3">
        <v>398</v>
      </c>
      <c r="X39" s="3">
        <v>0</v>
      </c>
      <c r="Y39" s="3">
        <v>34</v>
      </c>
      <c r="Z39" s="9" t="s">
        <v>906</v>
      </c>
      <c r="AA39" s="3">
        <v>0.19800000000000001</v>
      </c>
    </row>
    <row r="40" spans="1:27" x14ac:dyDescent="0.3">
      <c r="A40" s="4" t="s">
        <v>413</v>
      </c>
      <c r="B40" s="3" t="s">
        <v>4</v>
      </c>
      <c r="C40" s="3" t="s">
        <v>623</v>
      </c>
      <c r="D40" s="3" t="s">
        <v>944</v>
      </c>
      <c r="E40" s="3">
        <v>2546</v>
      </c>
      <c r="F40" s="3">
        <v>140.80000000000001</v>
      </c>
      <c r="G40" s="29">
        <f>E40/70</f>
        <v>36.371428571428574</v>
      </c>
      <c r="H40" s="3">
        <v>102</v>
      </c>
      <c r="I40" s="3">
        <v>229</v>
      </c>
      <c r="J40" s="3">
        <v>1808</v>
      </c>
      <c r="K40" s="3">
        <v>527</v>
      </c>
      <c r="L40" s="3">
        <v>0</v>
      </c>
      <c r="M40" s="3">
        <v>18</v>
      </c>
      <c r="N40" s="3">
        <v>12</v>
      </c>
      <c r="O40" s="3">
        <v>2</v>
      </c>
      <c r="P40" s="3">
        <v>0</v>
      </c>
      <c r="Q40" s="3">
        <v>4.9000000000000004</v>
      </c>
      <c r="R40" s="3">
        <v>8.6</v>
      </c>
      <c r="S40" s="29">
        <f t="shared" si="0"/>
        <v>29.5</v>
      </c>
      <c r="T40" s="3">
        <v>354</v>
      </c>
      <c r="U40" s="3">
        <v>17</v>
      </c>
      <c r="V40" s="3">
        <v>21</v>
      </c>
      <c r="W40" s="3">
        <v>76</v>
      </c>
      <c r="X40" s="3">
        <v>0</v>
      </c>
      <c r="Y40" s="3">
        <v>34</v>
      </c>
      <c r="Z40" s="9" t="s">
        <v>906</v>
      </c>
      <c r="AA40" s="3">
        <v>0.74</v>
      </c>
    </row>
    <row r="41" spans="1:27" x14ac:dyDescent="0.3">
      <c r="A41" s="4" t="s">
        <v>999</v>
      </c>
      <c r="B41" s="3" t="s">
        <v>4</v>
      </c>
      <c r="C41" s="3" t="s">
        <v>623</v>
      </c>
      <c r="D41" s="3" t="s">
        <v>942</v>
      </c>
      <c r="E41" s="3">
        <v>273</v>
      </c>
      <c r="F41" s="3">
        <v>132.5</v>
      </c>
      <c r="G41" s="3">
        <f>E41/10</f>
        <v>27.3</v>
      </c>
      <c r="H41" s="3">
        <v>11</v>
      </c>
      <c r="I41" s="3">
        <v>20</v>
      </c>
      <c r="J41" s="3">
        <v>206</v>
      </c>
      <c r="K41" s="3">
        <v>47</v>
      </c>
      <c r="L41" s="3">
        <v>0</v>
      </c>
      <c r="M41" s="3">
        <v>0</v>
      </c>
      <c r="N41" s="3">
        <v>88</v>
      </c>
      <c r="O41" s="3">
        <v>11</v>
      </c>
      <c r="P41" s="3">
        <v>1</v>
      </c>
      <c r="Q41" s="3">
        <v>7.1</v>
      </c>
      <c r="R41" s="3">
        <v>9.4</v>
      </c>
      <c r="S41" s="29">
        <f t="shared" si="0"/>
        <v>22.07</v>
      </c>
      <c r="T41" s="3">
        <v>1942</v>
      </c>
      <c r="U41" s="3">
        <v>68</v>
      </c>
      <c r="V41" s="3">
        <v>151</v>
      </c>
      <c r="W41" s="3">
        <v>351</v>
      </c>
      <c r="X41" s="3">
        <v>1</v>
      </c>
      <c r="Y41" s="3">
        <v>29</v>
      </c>
      <c r="Z41" s="9" t="s">
        <v>906</v>
      </c>
      <c r="AA41" s="3">
        <v>0</v>
      </c>
    </row>
    <row r="42" spans="1:27" x14ac:dyDescent="0.3">
      <c r="A42" s="4" t="s">
        <v>301</v>
      </c>
      <c r="B42" s="3" t="s">
        <v>4</v>
      </c>
      <c r="C42" s="3" t="s">
        <v>387</v>
      </c>
      <c r="D42" s="3" t="s">
        <v>944</v>
      </c>
      <c r="E42" s="3">
        <v>1440</v>
      </c>
      <c r="F42" s="3">
        <v>135.1</v>
      </c>
      <c r="G42" s="29">
        <f>E42/46</f>
        <v>31.304347826086957</v>
      </c>
      <c r="H42" s="3">
        <v>57</v>
      </c>
      <c r="I42" s="3">
        <v>111</v>
      </c>
      <c r="J42" s="3">
        <v>1066</v>
      </c>
      <c r="K42" s="3">
        <v>318</v>
      </c>
      <c r="L42" s="3">
        <v>0</v>
      </c>
      <c r="M42" s="3">
        <v>10</v>
      </c>
      <c r="N42" s="3">
        <v>6</v>
      </c>
      <c r="O42" s="3">
        <v>0</v>
      </c>
      <c r="P42" s="3">
        <v>0</v>
      </c>
      <c r="Q42" s="3">
        <v>3.2</v>
      </c>
      <c r="R42" s="3">
        <v>8.8000000000000007</v>
      </c>
      <c r="S42" s="29">
        <f t="shared" si="0"/>
        <v>45.67</v>
      </c>
      <c r="T42" s="3">
        <v>274</v>
      </c>
      <c r="U42" s="3">
        <v>15</v>
      </c>
      <c r="V42" s="3">
        <v>15</v>
      </c>
      <c r="W42" s="3">
        <v>48</v>
      </c>
      <c r="X42" s="3">
        <v>0</v>
      </c>
      <c r="Y42" s="3">
        <v>31</v>
      </c>
      <c r="Z42" s="9" t="s">
        <v>906</v>
      </c>
      <c r="AA42" s="3">
        <v>2</v>
      </c>
    </row>
    <row r="43" spans="1:27" x14ac:dyDescent="0.3">
      <c r="A43" s="4" t="s">
        <v>653</v>
      </c>
      <c r="B43" s="3" t="s">
        <v>4</v>
      </c>
      <c r="C43" s="3" t="s">
        <v>387</v>
      </c>
      <c r="D43" s="3" t="s">
        <v>942</v>
      </c>
      <c r="E43" s="3">
        <v>851</v>
      </c>
      <c r="F43" s="3">
        <v>145.19999999999999</v>
      </c>
      <c r="G43" s="29">
        <f>E43/33</f>
        <v>25.787878787878789</v>
      </c>
      <c r="H43" s="3">
        <v>53</v>
      </c>
      <c r="I43" s="3">
        <v>57</v>
      </c>
      <c r="J43" s="3">
        <v>586</v>
      </c>
      <c r="K43" s="3">
        <v>208</v>
      </c>
      <c r="L43" s="3">
        <v>0</v>
      </c>
      <c r="M43" s="3">
        <v>4</v>
      </c>
      <c r="N43" s="3">
        <v>96</v>
      </c>
      <c r="O43" s="3">
        <v>6</v>
      </c>
      <c r="P43" s="3">
        <v>1</v>
      </c>
      <c r="Q43" s="3">
        <v>5.8</v>
      </c>
      <c r="R43" s="3">
        <v>7.5</v>
      </c>
      <c r="S43" s="29">
        <f t="shared" si="0"/>
        <v>21.4</v>
      </c>
      <c r="T43" s="3">
        <v>2054</v>
      </c>
      <c r="U43" s="3">
        <v>72</v>
      </c>
      <c r="V43" s="3">
        <v>189</v>
      </c>
      <c r="W43" s="3">
        <v>754</v>
      </c>
      <c r="X43" s="3">
        <v>4</v>
      </c>
      <c r="Y43" s="3">
        <v>25</v>
      </c>
      <c r="Z43" s="9" t="s">
        <v>906</v>
      </c>
      <c r="AA43" s="3">
        <v>7</v>
      </c>
    </row>
    <row r="44" spans="1:27" x14ac:dyDescent="0.3">
      <c r="A44" s="4" t="s">
        <v>718</v>
      </c>
      <c r="B44" s="3" t="s">
        <v>4</v>
      </c>
      <c r="C44" s="3" t="s">
        <v>387</v>
      </c>
      <c r="D44" s="3" t="s">
        <v>942</v>
      </c>
      <c r="E44" s="3">
        <v>859</v>
      </c>
      <c r="F44" s="3">
        <v>110.4</v>
      </c>
      <c r="G44" s="29">
        <f>E44/42</f>
        <v>20.452380952380953</v>
      </c>
      <c r="H44" s="3">
        <v>20</v>
      </c>
      <c r="I44" s="3">
        <v>70</v>
      </c>
      <c r="J44" s="3">
        <v>778</v>
      </c>
      <c r="K44" s="3">
        <v>279</v>
      </c>
      <c r="L44" s="3">
        <v>0</v>
      </c>
      <c r="M44" s="3">
        <v>3</v>
      </c>
      <c r="N44" s="3">
        <v>83</v>
      </c>
      <c r="O44" s="3">
        <v>5</v>
      </c>
      <c r="P44" s="3">
        <v>0</v>
      </c>
      <c r="Q44" s="3">
        <v>5.5</v>
      </c>
      <c r="R44" s="3">
        <v>8.1999999999999993</v>
      </c>
      <c r="S44" s="29">
        <f t="shared" si="0"/>
        <v>24.64</v>
      </c>
      <c r="T44" s="3">
        <v>2045</v>
      </c>
      <c r="U44" s="3">
        <v>51</v>
      </c>
      <c r="V44" s="3">
        <v>207</v>
      </c>
      <c r="W44" s="3">
        <v>561</v>
      </c>
      <c r="X44" s="3">
        <v>1</v>
      </c>
      <c r="Y44" s="3">
        <v>31</v>
      </c>
      <c r="Z44" s="9" t="s">
        <v>906</v>
      </c>
      <c r="AA44" s="3">
        <v>0.75</v>
      </c>
    </row>
    <row r="45" spans="1:27" x14ac:dyDescent="0.3">
      <c r="A45" s="4" t="s">
        <v>330</v>
      </c>
      <c r="B45" s="3" t="s">
        <v>4</v>
      </c>
      <c r="C45" s="3" t="s">
        <v>387</v>
      </c>
      <c r="D45" s="3" t="s">
        <v>944</v>
      </c>
      <c r="E45" s="3">
        <v>1198</v>
      </c>
      <c r="F45" s="3">
        <v>126.4</v>
      </c>
      <c r="G45" s="29">
        <f>E45/39</f>
        <v>30.717948717948719</v>
      </c>
      <c r="H45" s="3">
        <v>48</v>
      </c>
      <c r="I45" s="3">
        <v>78</v>
      </c>
      <c r="J45" s="3">
        <v>948</v>
      </c>
      <c r="K45" s="3">
        <v>283</v>
      </c>
      <c r="L45" s="3">
        <v>0</v>
      </c>
      <c r="M45" s="3">
        <v>4</v>
      </c>
      <c r="N45" s="3">
        <v>13</v>
      </c>
      <c r="O45" s="3">
        <v>3</v>
      </c>
      <c r="P45" s="3">
        <v>0</v>
      </c>
      <c r="Q45" s="3">
        <v>8.6999999999999993</v>
      </c>
      <c r="R45" s="3">
        <v>8.1999999999999993</v>
      </c>
      <c r="S45" s="29">
        <f t="shared" si="0"/>
        <v>15.77</v>
      </c>
      <c r="T45" s="3">
        <v>205</v>
      </c>
      <c r="U45" s="3">
        <v>8</v>
      </c>
      <c r="V45" s="3">
        <v>6</v>
      </c>
      <c r="W45" s="3">
        <v>39</v>
      </c>
      <c r="X45" s="3">
        <v>0</v>
      </c>
      <c r="Y45" s="3">
        <v>31</v>
      </c>
      <c r="Z45" s="9" t="s">
        <v>908</v>
      </c>
      <c r="AA45" s="3">
        <v>0.24</v>
      </c>
    </row>
    <row r="46" spans="1:27" x14ac:dyDescent="0.3">
      <c r="A46" s="4" t="s">
        <v>706</v>
      </c>
      <c r="B46" s="3" t="s">
        <v>4</v>
      </c>
      <c r="C46" s="3" t="s">
        <v>387</v>
      </c>
      <c r="D46" s="3" t="s">
        <v>942</v>
      </c>
      <c r="E46" s="3">
        <v>755</v>
      </c>
      <c r="F46" s="3">
        <v>120.2</v>
      </c>
      <c r="G46" s="29">
        <f>E46/41</f>
        <v>18.414634146341463</v>
      </c>
      <c r="H46" s="3">
        <v>38</v>
      </c>
      <c r="I46" s="3">
        <v>59</v>
      </c>
      <c r="J46" s="3">
        <v>628</v>
      </c>
      <c r="K46" s="3">
        <v>257</v>
      </c>
      <c r="L46" s="3">
        <v>0</v>
      </c>
      <c r="M46" s="3">
        <v>0</v>
      </c>
      <c r="N46" s="3">
        <v>47</v>
      </c>
      <c r="O46" s="3">
        <v>2</v>
      </c>
      <c r="P46" s="3">
        <v>0</v>
      </c>
      <c r="Q46" s="3">
        <v>4.3</v>
      </c>
      <c r="R46" s="3">
        <v>8.6999999999999993</v>
      </c>
      <c r="S46" s="29">
        <f t="shared" si="0"/>
        <v>33.81</v>
      </c>
      <c r="T46" s="3">
        <v>1589</v>
      </c>
      <c r="U46" s="3">
        <v>64</v>
      </c>
      <c r="V46" s="3">
        <v>120</v>
      </c>
      <c r="W46" s="3">
        <v>344</v>
      </c>
      <c r="X46" s="3">
        <v>2</v>
      </c>
      <c r="Y46" s="3">
        <v>30</v>
      </c>
      <c r="Z46" s="9" t="s">
        <v>906</v>
      </c>
      <c r="AA46" s="3">
        <v>0</v>
      </c>
    </row>
    <row r="47" spans="1:27" x14ac:dyDescent="0.3">
      <c r="A47" s="4" t="s">
        <v>315</v>
      </c>
      <c r="B47" s="3" t="s">
        <v>4</v>
      </c>
      <c r="C47" s="3" t="s">
        <v>387</v>
      </c>
      <c r="D47" s="3" t="s">
        <v>942</v>
      </c>
      <c r="E47" s="3">
        <v>1967</v>
      </c>
      <c r="F47" s="3">
        <v>133.6</v>
      </c>
      <c r="G47" s="29">
        <f>E47/72</f>
        <v>27.319444444444443</v>
      </c>
      <c r="H47" s="3">
        <v>75</v>
      </c>
      <c r="I47" s="3">
        <v>148</v>
      </c>
      <c r="J47" s="3">
        <v>1472</v>
      </c>
      <c r="K47" s="3">
        <v>472</v>
      </c>
      <c r="L47" s="3">
        <v>0</v>
      </c>
      <c r="M47" s="3">
        <v>10</v>
      </c>
      <c r="N47" s="3">
        <v>61</v>
      </c>
      <c r="O47" s="3">
        <v>0</v>
      </c>
      <c r="P47" s="3">
        <v>0</v>
      </c>
      <c r="Q47" s="3">
        <v>4.9000000000000004</v>
      </c>
      <c r="R47" s="3">
        <v>8.8000000000000007</v>
      </c>
      <c r="S47" s="29">
        <f t="shared" si="0"/>
        <v>30</v>
      </c>
      <c r="T47" s="3">
        <v>1830</v>
      </c>
      <c r="U47" s="3">
        <v>68</v>
      </c>
      <c r="V47" s="3">
        <v>151</v>
      </c>
      <c r="W47" s="3">
        <v>429</v>
      </c>
      <c r="X47" s="3">
        <v>1</v>
      </c>
      <c r="Y47" s="3">
        <v>28</v>
      </c>
      <c r="Z47" s="9" t="s">
        <v>906</v>
      </c>
      <c r="AA47" s="3">
        <v>0</v>
      </c>
    </row>
    <row r="48" spans="1:27" ht="17.399999999999999" customHeight="1" x14ac:dyDescent="0.3">
      <c r="A48" s="4" t="s">
        <v>478</v>
      </c>
      <c r="B48" s="3" t="s">
        <v>4</v>
      </c>
      <c r="C48" s="9" t="s">
        <v>484</v>
      </c>
      <c r="D48" s="3" t="s">
        <v>942</v>
      </c>
      <c r="E48" s="3">
        <v>1492</v>
      </c>
      <c r="F48" s="3">
        <v>158.1</v>
      </c>
      <c r="G48" s="29">
        <f>E48/63</f>
        <v>23.682539682539684</v>
      </c>
      <c r="H48" s="3">
        <v>108</v>
      </c>
      <c r="I48" s="3">
        <v>100</v>
      </c>
      <c r="J48" s="3">
        <v>944</v>
      </c>
      <c r="K48" s="3">
        <v>353</v>
      </c>
      <c r="L48" s="3">
        <v>0</v>
      </c>
      <c r="M48" s="3">
        <v>5</v>
      </c>
      <c r="N48" s="3">
        <v>134</v>
      </c>
      <c r="O48" s="3">
        <v>15</v>
      </c>
      <c r="P48" s="3">
        <v>0</v>
      </c>
      <c r="Q48" s="3">
        <v>6</v>
      </c>
      <c r="R48" s="3">
        <v>8.3000000000000007</v>
      </c>
      <c r="S48" s="29">
        <f t="shared" si="0"/>
        <v>22.97</v>
      </c>
      <c r="T48" s="3">
        <v>3078</v>
      </c>
      <c r="U48" s="3">
        <v>125</v>
      </c>
      <c r="V48" s="3">
        <v>267</v>
      </c>
      <c r="W48" s="3">
        <v>882</v>
      </c>
      <c r="X48" s="3">
        <v>4</v>
      </c>
      <c r="Y48" s="3">
        <v>31</v>
      </c>
      <c r="Z48" s="9" t="s">
        <v>906</v>
      </c>
      <c r="AA48" s="3">
        <v>1.5</v>
      </c>
    </row>
    <row r="49" spans="1:27" x14ac:dyDescent="0.3">
      <c r="A49" s="4" t="s">
        <v>468</v>
      </c>
      <c r="B49" s="3" t="s">
        <v>4</v>
      </c>
      <c r="C49" s="9" t="s">
        <v>484</v>
      </c>
      <c r="D49" s="3" t="s">
        <v>944</v>
      </c>
      <c r="E49" s="3">
        <v>1751</v>
      </c>
      <c r="F49" s="3">
        <v>124.9</v>
      </c>
      <c r="G49" s="30">
        <f>E49/62</f>
        <v>28.241935483870968</v>
      </c>
      <c r="H49" s="3">
        <v>62</v>
      </c>
      <c r="I49" s="3">
        <v>153</v>
      </c>
      <c r="J49" s="3">
        <v>1402</v>
      </c>
      <c r="K49" s="3">
        <v>516</v>
      </c>
      <c r="L49" s="3">
        <v>0</v>
      </c>
      <c r="M49" s="3">
        <v>11</v>
      </c>
      <c r="N49" s="3">
        <v>67</v>
      </c>
      <c r="O49" s="3">
        <v>5</v>
      </c>
      <c r="P49" s="3">
        <v>0</v>
      </c>
      <c r="Q49" s="3">
        <v>4.7</v>
      </c>
      <c r="R49" s="3">
        <v>7.1</v>
      </c>
      <c r="S49" s="29">
        <f t="shared" si="0"/>
        <v>25.03</v>
      </c>
      <c r="T49" s="3">
        <v>1677</v>
      </c>
      <c r="U49" s="3">
        <v>81</v>
      </c>
      <c r="V49" s="3">
        <v>102</v>
      </c>
      <c r="W49" s="3">
        <v>587</v>
      </c>
      <c r="X49" s="3">
        <v>3</v>
      </c>
      <c r="Y49" s="3">
        <v>33</v>
      </c>
      <c r="Z49" s="9" t="s">
        <v>906</v>
      </c>
      <c r="AA49" s="3">
        <v>0</v>
      </c>
    </row>
    <row r="50" spans="1:27" x14ac:dyDescent="0.3">
      <c r="A50" s="4" t="s">
        <v>469</v>
      </c>
      <c r="B50" s="3" t="s">
        <v>4</v>
      </c>
      <c r="C50" s="9" t="s">
        <v>484</v>
      </c>
      <c r="D50" s="3" t="s">
        <v>942</v>
      </c>
      <c r="E50" s="3">
        <v>1812</v>
      </c>
      <c r="F50" s="3">
        <v>138.9</v>
      </c>
      <c r="G50" s="29">
        <f>E50/76</f>
        <v>23.842105263157894</v>
      </c>
      <c r="H50" s="3">
        <v>111</v>
      </c>
      <c r="I50" s="3">
        <v>117</v>
      </c>
      <c r="J50" s="3">
        <v>1305</v>
      </c>
      <c r="K50" s="3">
        <v>439</v>
      </c>
      <c r="L50" s="3">
        <v>0</v>
      </c>
      <c r="M50" s="3">
        <v>4</v>
      </c>
      <c r="N50" s="3">
        <v>160</v>
      </c>
      <c r="O50" s="3">
        <v>3</v>
      </c>
      <c r="P50" s="3">
        <v>0</v>
      </c>
      <c r="Q50" s="3">
        <v>5.4</v>
      </c>
      <c r="R50" s="3">
        <v>8.3000000000000007</v>
      </c>
      <c r="S50" s="29">
        <f t="shared" si="0"/>
        <v>25.72</v>
      </c>
      <c r="T50" s="3">
        <v>4115</v>
      </c>
      <c r="U50" s="3">
        <v>162</v>
      </c>
      <c r="V50" s="3">
        <v>328</v>
      </c>
      <c r="W50" s="3">
        <v>1158</v>
      </c>
      <c r="X50" s="3">
        <v>9</v>
      </c>
      <c r="Y50" s="3">
        <v>34</v>
      </c>
      <c r="Z50" s="9" t="s">
        <v>906</v>
      </c>
      <c r="AA50" s="3">
        <v>7</v>
      </c>
    </row>
    <row r="51" spans="1:27" x14ac:dyDescent="0.3">
      <c r="A51" s="4" t="s">
        <v>472</v>
      </c>
      <c r="B51" s="3" t="s">
        <v>4</v>
      </c>
      <c r="C51" s="3" t="s">
        <v>484</v>
      </c>
      <c r="D51" s="3" t="s">
        <v>944</v>
      </c>
      <c r="E51" s="3">
        <v>1446</v>
      </c>
      <c r="F51" s="3">
        <v>147.1</v>
      </c>
      <c r="G51" s="29">
        <f>E51/59</f>
        <v>24.508474576271187</v>
      </c>
      <c r="H51" s="3">
        <v>99</v>
      </c>
      <c r="I51" s="3">
        <v>91</v>
      </c>
      <c r="J51" s="3">
        <v>983</v>
      </c>
      <c r="K51" s="3">
        <v>326</v>
      </c>
      <c r="L51" s="3">
        <v>0</v>
      </c>
      <c r="M51" s="3">
        <v>4</v>
      </c>
      <c r="N51" s="3">
        <v>77</v>
      </c>
      <c r="O51" s="3">
        <v>4</v>
      </c>
      <c r="P51" s="3">
        <v>0</v>
      </c>
      <c r="Q51" s="3">
        <v>5.3</v>
      </c>
      <c r="R51" s="3">
        <v>8.1</v>
      </c>
      <c r="S51" s="29">
        <f t="shared" si="0"/>
        <v>25.64</v>
      </c>
      <c r="T51" s="3">
        <v>1974</v>
      </c>
      <c r="U51" s="3">
        <v>90</v>
      </c>
      <c r="V51" s="3">
        <v>132</v>
      </c>
      <c r="W51" s="3">
        <v>479</v>
      </c>
      <c r="X51" s="3">
        <v>0</v>
      </c>
      <c r="Y51" s="3">
        <v>30</v>
      </c>
      <c r="Z51" s="9" t="s">
        <v>906</v>
      </c>
      <c r="AA51" s="3">
        <v>0.75</v>
      </c>
    </row>
    <row r="52" spans="1:27" x14ac:dyDescent="0.3">
      <c r="A52" s="4" t="s">
        <v>1000</v>
      </c>
      <c r="B52" s="3" t="s">
        <v>4</v>
      </c>
      <c r="C52" s="3" t="s">
        <v>484</v>
      </c>
      <c r="D52" s="3" t="s">
        <v>944</v>
      </c>
      <c r="E52" s="3">
        <v>1767</v>
      </c>
      <c r="F52" s="3">
        <v>166.9</v>
      </c>
      <c r="G52" s="29">
        <f>E52/101</f>
        <v>17.495049504950494</v>
      </c>
      <c r="H52" s="3">
        <v>116</v>
      </c>
      <c r="I52" s="3">
        <v>186</v>
      </c>
      <c r="J52" s="3">
        <v>1059</v>
      </c>
      <c r="K52" s="3">
        <v>480</v>
      </c>
      <c r="L52" s="3">
        <v>1</v>
      </c>
      <c r="M52" s="3">
        <v>7</v>
      </c>
      <c r="N52" s="3">
        <v>168</v>
      </c>
      <c r="O52" s="3">
        <v>9</v>
      </c>
      <c r="P52" s="3">
        <v>0</v>
      </c>
      <c r="Q52" s="3">
        <v>4.2</v>
      </c>
      <c r="R52" s="3">
        <v>6.9</v>
      </c>
      <c r="S52" s="29">
        <f t="shared" si="0"/>
        <v>27.17</v>
      </c>
      <c r="T52" s="3">
        <v>4565</v>
      </c>
      <c r="U52" s="3">
        <v>175</v>
      </c>
      <c r="V52" s="3">
        <v>300</v>
      </c>
      <c r="W52" s="3">
        <v>1543</v>
      </c>
      <c r="X52" s="3">
        <v>3</v>
      </c>
      <c r="Y52" s="3">
        <v>37</v>
      </c>
      <c r="Z52" s="9" t="s">
        <v>906</v>
      </c>
      <c r="AA52" s="3">
        <v>12</v>
      </c>
    </row>
    <row r="53" spans="1:27" x14ac:dyDescent="0.3">
      <c r="A53" s="4" t="s">
        <v>475</v>
      </c>
      <c r="B53" s="3" t="s">
        <v>4</v>
      </c>
      <c r="C53" s="3" t="s">
        <v>484</v>
      </c>
      <c r="D53" s="3" t="s">
        <v>942</v>
      </c>
      <c r="E53" s="3">
        <v>299</v>
      </c>
      <c r="F53" s="3">
        <v>141.69999999999999</v>
      </c>
      <c r="G53" s="29">
        <f>E53/19</f>
        <v>15.736842105263158</v>
      </c>
      <c r="H53" s="3">
        <v>18</v>
      </c>
      <c r="I53" s="3">
        <v>22</v>
      </c>
      <c r="J53" s="3">
        <v>211</v>
      </c>
      <c r="K53" s="3">
        <v>80</v>
      </c>
      <c r="L53" s="3">
        <v>0</v>
      </c>
      <c r="M53" s="3">
        <v>2</v>
      </c>
      <c r="N53" s="3">
        <v>51</v>
      </c>
      <c r="O53" s="3">
        <v>3</v>
      </c>
      <c r="P53" s="3">
        <v>0</v>
      </c>
      <c r="Q53" s="9">
        <v>5.8</v>
      </c>
      <c r="R53" s="3">
        <v>7.8</v>
      </c>
      <c r="S53" s="29">
        <f t="shared" si="0"/>
        <v>22.2</v>
      </c>
      <c r="T53" s="32">
        <v>1132</v>
      </c>
      <c r="U53" s="32">
        <v>53</v>
      </c>
      <c r="V53" s="32">
        <v>97</v>
      </c>
      <c r="W53" s="32">
        <v>412</v>
      </c>
      <c r="X53" s="32">
        <v>1</v>
      </c>
      <c r="Y53" s="32">
        <v>23</v>
      </c>
      <c r="Z53" s="33" t="s">
        <v>908</v>
      </c>
      <c r="AA53" s="3">
        <v>0</v>
      </c>
    </row>
    <row r="54" spans="1:27" x14ac:dyDescent="0.3">
      <c r="A54" s="4" t="s">
        <v>477</v>
      </c>
      <c r="B54" s="3" t="s">
        <v>4</v>
      </c>
      <c r="C54" s="3" t="s">
        <v>484</v>
      </c>
      <c r="D54" s="3" t="s">
        <v>944</v>
      </c>
      <c r="E54" s="3">
        <v>215</v>
      </c>
      <c r="F54" s="3">
        <v>128.69999999999999</v>
      </c>
      <c r="G54" s="29">
        <f>E54/13</f>
        <v>16.53846153846154</v>
      </c>
      <c r="H54" s="3">
        <v>13</v>
      </c>
      <c r="I54" s="3">
        <v>8</v>
      </c>
      <c r="J54" s="3">
        <v>13</v>
      </c>
      <c r="K54" s="3">
        <v>55</v>
      </c>
      <c r="L54" s="3">
        <v>0</v>
      </c>
      <c r="M54" s="3">
        <v>0</v>
      </c>
      <c r="N54" s="3">
        <v>69</v>
      </c>
      <c r="O54" s="3">
        <v>3</v>
      </c>
      <c r="P54" s="3">
        <v>2</v>
      </c>
      <c r="Q54" s="3">
        <v>6.3</v>
      </c>
      <c r="R54" s="3">
        <v>7.4</v>
      </c>
      <c r="S54" s="29">
        <f t="shared" si="0"/>
        <v>19.68</v>
      </c>
      <c r="T54" s="3">
        <v>1358</v>
      </c>
      <c r="U54" s="3">
        <v>67</v>
      </c>
      <c r="V54" s="3">
        <v>75</v>
      </c>
      <c r="W54" s="3">
        <v>420</v>
      </c>
      <c r="X54" s="3">
        <v>3</v>
      </c>
      <c r="Y54" s="3">
        <v>33</v>
      </c>
      <c r="Z54" s="9" t="s">
        <v>906</v>
      </c>
      <c r="AA54" s="3">
        <v>0.14000000000000001</v>
      </c>
    </row>
    <row r="55" spans="1:27" x14ac:dyDescent="0.3">
      <c r="A55" s="4" t="s">
        <v>493</v>
      </c>
      <c r="B55" s="3" t="s">
        <v>4</v>
      </c>
      <c r="C55" s="3" t="s">
        <v>534</v>
      </c>
      <c r="D55" s="3" t="s">
        <v>944</v>
      </c>
      <c r="E55" s="3">
        <v>802</v>
      </c>
      <c r="F55" s="3">
        <v>123.4</v>
      </c>
      <c r="G55" s="29">
        <f>E55/32</f>
        <v>25.0625</v>
      </c>
      <c r="H55" s="3">
        <v>23</v>
      </c>
      <c r="I55" s="3">
        <v>73</v>
      </c>
      <c r="J55" s="3">
        <v>650</v>
      </c>
      <c r="K55" s="3">
        <v>239</v>
      </c>
      <c r="L55" s="3">
        <v>0</v>
      </c>
      <c r="M55" s="3">
        <v>5</v>
      </c>
      <c r="N55" s="3">
        <v>12</v>
      </c>
      <c r="O55" s="3">
        <v>2</v>
      </c>
      <c r="P55" s="3">
        <v>0</v>
      </c>
      <c r="Q55" s="3">
        <v>3.2</v>
      </c>
      <c r="R55" s="3">
        <v>8.6999999999999993</v>
      </c>
      <c r="S55" s="29">
        <f t="shared" si="0"/>
        <v>44.92</v>
      </c>
      <c r="T55" s="3">
        <v>539</v>
      </c>
      <c r="U55" s="3">
        <v>23</v>
      </c>
      <c r="V55" s="3">
        <v>33</v>
      </c>
      <c r="W55" s="3">
        <v>95</v>
      </c>
      <c r="X55" s="3">
        <v>0</v>
      </c>
      <c r="Y55" s="3">
        <v>27</v>
      </c>
      <c r="Z55" s="9" t="s">
        <v>906</v>
      </c>
      <c r="AA55" s="3">
        <v>0.75</v>
      </c>
    </row>
    <row r="56" spans="1:27" x14ac:dyDescent="0.3">
      <c r="A56" s="4" t="s">
        <v>516</v>
      </c>
      <c r="B56" s="3" t="s">
        <v>4</v>
      </c>
      <c r="C56" s="3" t="s">
        <v>534</v>
      </c>
      <c r="D56" s="3" t="s">
        <v>944</v>
      </c>
      <c r="E56" s="3">
        <v>49</v>
      </c>
      <c r="F56" s="3">
        <v>119.5</v>
      </c>
      <c r="G56" s="3">
        <f>E56/5</f>
        <v>9.8000000000000007</v>
      </c>
      <c r="H56" s="3">
        <v>4</v>
      </c>
      <c r="I56" s="3">
        <v>1</v>
      </c>
      <c r="J56" s="3">
        <v>41</v>
      </c>
      <c r="K56" s="3">
        <v>17</v>
      </c>
      <c r="L56" s="3">
        <v>0</v>
      </c>
      <c r="M56" s="3">
        <v>0</v>
      </c>
      <c r="N56" s="3">
        <v>19</v>
      </c>
      <c r="O56" s="3">
        <v>3</v>
      </c>
      <c r="P56" s="3">
        <v>0</v>
      </c>
      <c r="Q56" s="3">
        <v>6.6</v>
      </c>
      <c r="R56" s="3">
        <v>6.8</v>
      </c>
      <c r="S56" s="29">
        <f t="shared" si="0"/>
        <v>17.11</v>
      </c>
      <c r="T56" s="3">
        <v>325</v>
      </c>
      <c r="U56" s="3">
        <v>8</v>
      </c>
      <c r="V56" s="3">
        <v>29</v>
      </c>
      <c r="W56" s="3">
        <v>103</v>
      </c>
      <c r="X56" s="3">
        <v>0</v>
      </c>
      <c r="Y56" s="3">
        <v>31</v>
      </c>
      <c r="Z56" s="9" t="s">
        <v>906</v>
      </c>
      <c r="AA56" s="3">
        <v>0</v>
      </c>
    </row>
    <row r="57" spans="1:27" x14ac:dyDescent="0.3">
      <c r="A57" s="4" t="s">
        <v>487</v>
      </c>
      <c r="B57" s="3" t="s">
        <v>4</v>
      </c>
      <c r="C57" s="3" t="s">
        <v>534</v>
      </c>
      <c r="D57" s="3" t="s">
        <v>944</v>
      </c>
      <c r="E57" s="3">
        <v>960</v>
      </c>
      <c r="F57" s="3">
        <v>128.69999999999999</v>
      </c>
      <c r="G57" s="29">
        <f>E57/46</f>
        <v>20.869565217391305</v>
      </c>
      <c r="H57" s="3">
        <v>43</v>
      </c>
      <c r="I57" s="3">
        <v>83</v>
      </c>
      <c r="J57" s="3">
        <v>746</v>
      </c>
      <c r="K57" s="3">
        <v>292</v>
      </c>
      <c r="L57" s="3">
        <v>0</v>
      </c>
      <c r="M57" s="3">
        <v>5</v>
      </c>
      <c r="N57" s="3">
        <v>4</v>
      </c>
      <c r="O57" s="3">
        <v>0</v>
      </c>
      <c r="P57" s="3">
        <v>0</v>
      </c>
      <c r="Q57" s="3">
        <v>2.6</v>
      </c>
      <c r="R57" s="3">
        <v>7.5</v>
      </c>
      <c r="S57" s="29">
        <f t="shared" si="0"/>
        <v>47.75</v>
      </c>
      <c r="T57" s="3">
        <v>191</v>
      </c>
      <c r="U57" s="3">
        <v>9</v>
      </c>
      <c r="V57" s="3">
        <v>16</v>
      </c>
      <c r="W57" s="3">
        <v>59</v>
      </c>
      <c r="X57" s="3">
        <v>0</v>
      </c>
      <c r="Y57" s="3">
        <v>28</v>
      </c>
      <c r="Z57" s="9" t="s">
        <v>906</v>
      </c>
      <c r="AA57" s="3">
        <v>0</v>
      </c>
    </row>
    <row r="58" spans="1:27" x14ac:dyDescent="0.3">
      <c r="A58" s="4" t="s">
        <v>1018</v>
      </c>
      <c r="B58" s="3" t="s">
        <v>4</v>
      </c>
      <c r="C58" s="3" t="s">
        <v>534</v>
      </c>
      <c r="D58" s="3" t="s">
        <v>944</v>
      </c>
      <c r="E58" s="3">
        <v>686</v>
      </c>
      <c r="F58" s="3">
        <v>126.1</v>
      </c>
      <c r="G58" s="29">
        <f>E58/33</f>
        <v>20.787878787878789</v>
      </c>
      <c r="H58" s="3">
        <v>21</v>
      </c>
      <c r="I58" s="3">
        <v>64</v>
      </c>
      <c r="J58" s="3">
        <v>544</v>
      </c>
      <c r="K58" s="3">
        <v>198</v>
      </c>
      <c r="L58" s="3">
        <v>0</v>
      </c>
      <c r="M58" s="3">
        <v>3</v>
      </c>
      <c r="N58" s="3">
        <v>21</v>
      </c>
      <c r="O58" s="3">
        <v>0</v>
      </c>
      <c r="P58" s="3">
        <v>0</v>
      </c>
      <c r="Q58" s="3">
        <v>4.3</v>
      </c>
      <c r="R58" s="3">
        <v>7.3</v>
      </c>
      <c r="S58" s="29">
        <f t="shared" si="0"/>
        <v>28.14</v>
      </c>
      <c r="T58" s="3">
        <v>591</v>
      </c>
      <c r="U58" s="3">
        <v>18</v>
      </c>
      <c r="V58" s="3">
        <v>46</v>
      </c>
      <c r="W58" s="3">
        <v>168</v>
      </c>
      <c r="X58" s="3">
        <v>2</v>
      </c>
      <c r="Y58" s="3">
        <v>34</v>
      </c>
      <c r="Z58" s="9" t="s">
        <v>906</v>
      </c>
      <c r="AA58" s="3">
        <v>0.46</v>
      </c>
    </row>
    <row r="59" spans="1:27" x14ac:dyDescent="0.3">
      <c r="A59" s="4" t="s">
        <v>871</v>
      </c>
      <c r="B59" s="3" t="s">
        <v>4</v>
      </c>
      <c r="C59" s="3" t="s">
        <v>534</v>
      </c>
      <c r="D59" s="3" t="s">
        <v>942</v>
      </c>
      <c r="E59" s="3">
        <v>451</v>
      </c>
      <c r="F59" s="3">
        <v>144.6</v>
      </c>
      <c r="G59" s="29">
        <f>E59/15</f>
        <v>30.066666666666666</v>
      </c>
      <c r="H59" s="3">
        <v>19</v>
      </c>
      <c r="I59" s="3">
        <v>36</v>
      </c>
      <c r="J59" s="3">
        <v>312</v>
      </c>
      <c r="K59" s="3">
        <v>106</v>
      </c>
      <c r="L59" s="3">
        <v>0</v>
      </c>
      <c r="M59" s="3">
        <v>1</v>
      </c>
      <c r="N59" s="3">
        <v>21</v>
      </c>
      <c r="O59" s="3">
        <v>0</v>
      </c>
      <c r="P59" s="3">
        <v>0</v>
      </c>
      <c r="Q59" s="3">
        <v>4.0999999999999996</v>
      </c>
      <c r="R59" s="3">
        <v>9.8000000000000007</v>
      </c>
      <c r="S59" s="29">
        <f t="shared" si="0"/>
        <v>40.479999999999997</v>
      </c>
      <c r="T59" s="3">
        <v>850</v>
      </c>
      <c r="U59" s="3">
        <v>32</v>
      </c>
      <c r="V59" s="3">
        <v>28</v>
      </c>
      <c r="W59" s="3">
        <v>170</v>
      </c>
      <c r="X59" s="3">
        <v>1</v>
      </c>
      <c r="Y59" s="3">
        <v>29</v>
      </c>
      <c r="Z59" s="9" t="s">
        <v>906</v>
      </c>
      <c r="AA59" s="3">
        <v>0.5</v>
      </c>
    </row>
    <row r="60" spans="1:27" x14ac:dyDescent="0.3">
      <c r="A60" s="4" t="s">
        <v>959</v>
      </c>
      <c r="B60" s="3" t="s">
        <v>4</v>
      </c>
      <c r="C60" s="3" t="s">
        <v>961</v>
      </c>
      <c r="D60" s="3" t="s">
        <v>944</v>
      </c>
      <c r="E60" s="3">
        <v>585</v>
      </c>
      <c r="F60" s="3">
        <v>160.30000000000001</v>
      </c>
      <c r="G60" s="29">
        <f>E60/42</f>
        <v>13.928571428571429</v>
      </c>
      <c r="H60" s="3">
        <v>41</v>
      </c>
      <c r="I60" s="3">
        <v>41</v>
      </c>
      <c r="J60" s="3">
        <v>365</v>
      </c>
      <c r="K60" s="3">
        <v>141</v>
      </c>
      <c r="L60" s="3">
        <v>0</v>
      </c>
      <c r="M60" s="3">
        <v>1</v>
      </c>
      <c r="N60" s="3">
        <v>157</v>
      </c>
      <c r="O60" s="3">
        <v>14</v>
      </c>
      <c r="P60" s="3">
        <v>0</v>
      </c>
      <c r="Q60" s="3">
        <v>4.9000000000000004</v>
      </c>
      <c r="R60" s="3">
        <v>7.1</v>
      </c>
      <c r="S60" s="29">
        <f t="shared" si="0"/>
        <v>24.2</v>
      </c>
      <c r="T60" s="3">
        <v>3799</v>
      </c>
      <c r="U60" s="3">
        <v>158</v>
      </c>
      <c r="V60" s="3">
        <v>246</v>
      </c>
      <c r="W60" s="3">
        <v>1208</v>
      </c>
      <c r="X60" s="3">
        <v>4</v>
      </c>
      <c r="Y60" s="3">
        <v>27</v>
      </c>
      <c r="Z60" s="9" t="s">
        <v>906</v>
      </c>
      <c r="AA60" s="3">
        <v>18</v>
      </c>
    </row>
    <row r="61" spans="1:27" x14ac:dyDescent="0.3">
      <c r="A61" s="4" t="s">
        <v>1001</v>
      </c>
      <c r="B61" s="3" t="s">
        <v>4</v>
      </c>
      <c r="C61" s="3" t="s">
        <v>961</v>
      </c>
      <c r="D61" s="3" t="s">
        <v>942</v>
      </c>
      <c r="E61" s="3">
        <v>1195</v>
      </c>
      <c r="F61" s="3">
        <v>135.6</v>
      </c>
      <c r="G61" s="29">
        <f>E61/44</f>
        <v>27.15909090909091</v>
      </c>
      <c r="H61" s="3">
        <v>59</v>
      </c>
      <c r="I61" s="3">
        <v>87</v>
      </c>
      <c r="J61" s="3">
        <v>881</v>
      </c>
      <c r="K61" s="3">
        <v>296</v>
      </c>
      <c r="L61" s="3">
        <v>0</v>
      </c>
      <c r="M61" s="3">
        <v>6</v>
      </c>
      <c r="N61" s="3">
        <v>49</v>
      </c>
      <c r="O61" s="3">
        <v>3</v>
      </c>
      <c r="P61" s="3">
        <v>0</v>
      </c>
      <c r="Q61" s="3">
        <v>4.7</v>
      </c>
      <c r="R61" s="3">
        <v>9</v>
      </c>
      <c r="S61" s="29">
        <f t="shared" si="0"/>
        <v>32.1</v>
      </c>
      <c r="T61" s="3">
        <v>1573</v>
      </c>
      <c r="U61" s="3">
        <v>53</v>
      </c>
      <c r="V61" s="3">
        <v>125</v>
      </c>
      <c r="W61" s="3">
        <v>287</v>
      </c>
      <c r="X61" s="3">
        <v>0</v>
      </c>
      <c r="Y61" s="3">
        <v>34</v>
      </c>
      <c r="Z61" s="9" t="s">
        <v>906</v>
      </c>
      <c r="AA61" s="3">
        <v>0.5</v>
      </c>
    </row>
    <row r="62" spans="1:27" x14ac:dyDescent="0.3">
      <c r="A62" s="4" t="s">
        <v>1019</v>
      </c>
      <c r="B62" s="3" t="s">
        <v>4</v>
      </c>
      <c r="C62" s="3" t="s">
        <v>961</v>
      </c>
      <c r="D62" s="3" t="s">
        <v>942</v>
      </c>
      <c r="E62" s="3">
        <v>3170</v>
      </c>
      <c r="F62" s="3">
        <v>129</v>
      </c>
      <c r="G62" s="29">
        <f>E62/135</f>
        <v>23.481481481481481</v>
      </c>
      <c r="H62" s="3">
        <v>165</v>
      </c>
      <c r="I62" s="3">
        <v>200</v>
      </c>
      <c r="J62" s="3">
        <v>2457</v>
      </c>
      <c r="K62" s="3">
        <v>816</v>
      </c>
      <c r="L62" s="3">
        <v>0</v>
      </c>
      <c r="M62" s="3">
        <v>7</v>
      </c>
      <c r="N62" s="3">
        <v>179</v>
      </c>
      <c r="O62" s="3">
        <v>8</v>
      </c>
      <c r="P62" s="3">
        <v>1</v>
      </c>
      <c r="Q62" s="3">
        <v>4.3</v>
      </c>
      <c r="R62" s="3">
        <v>6.8</v>
      </c>
      <c r="S62" s="29">
        <f t="shared" si="0"/>
        <v>26.32</v>
      </c>
      <c r="T62" s="3">
        <v>4712</v>
      </c>
      <c r="U62" s="3">
        <v>155</v>
      </c>
      <c r="V62" s="3">
        <v>235</v>
      </c>
      <c r="W62" s="3">
        <v>1390</v>
      </c>
      <c r="X62" s="3">
        <v>8</v>
      </c>
      <c r="Y62" s="3">
        <v>41</v>
      </c>
      <c r="Z62" s="9" t="s">
        <v>906</v>
      </c>
      <c r="AA62" s="3">
        <v>1.5</v>
      </c>
    </row>
    <row r="63" spans="1:27" x14ac:dyDescent="0.3">
      <c r="A63" s="4" t="s">
        <v>1002</v>
      </c>
      <c r="B63" s="3" t="s">
        <v>4</v>
      </c>
      <c r="C63" s="3" t="s">
        <v>961</v>
      </c>
      <c r="D63" s="3" t="s">
        <v>942</v>
      </c>
      <c r="E63" s="3">
        <v>1425</v>
      </c>
      <c r="F63" s="3">
        <v>142.6</v>
      </c>
      <c r="G63" s="29">
        <f>E63/56</f>
        <v>25.446428571428573</v>
      </c>
      <c r="H63" s="3">
        <v>89</v>
      </c>
      <c r="I63" s="3">
        <v>85</v>
      </c>
      <c r="J63" s="3">
        <v>999</v>
      </c>
      <c r="K63" s="3">
        <v>328</v>
      </c>
      <c r="L63" s="3">
        <v>0</v>
      </c>
      <c r="M63" s="3">
        <v>3</v>
      </c>
      <c r="N63" s="3">
        <v>123</v>
      </c>
      <c r="O63" s="3">
        <v>12</v>
      </c>
      <c r="P63" s="3">
        <v>0</v>
      </c>
      <c r="Q63" s="3">
        <v>6.2</v>
      </c>
      <c r="R63" s="3">
        <v>8</v>
      </c>
      <c r="S63" s="29">
        <f t="shared" si="0"/>
        <v>21.47</v>
      </c>
      <c r="T63" s="3">
        <v>2641</v>
      </c>
      <c r="U63" s="3">
        <v>102</v>
      </c>
      <c r="V63" s="3">
        <v>254</v>
      </c>
      <c r="W63" s="3">
        <v>885</v>
      </c>
      <c r="X63" s="3">
        <v>6</v>
      </c>
      <c r="Y63" s="3">
        <v>25</v>
      </c>
      <c r="Z63" s="9" t="s">
        <v>906</v>
      </c>
      <c r="AA63" s="3">
        <v>2.4</v>
      </c>
    </row>
    <row r="64" spans="1:27" x14ac:dyDescent="0.3">
      <c r="A64" s="4" t="s">
        <v>1004</v>
      </c>
      <c r="B64" s="3" t="s">
        <v>4</v>
      </c>
      <c r="C64" s="3" t="s">
        <v>961</v>
      </c>
      <c r="D64" s="3" t="s">
        <v>942</v>
      </c>
      <c r="E64" s="3">
        <v>1489</v>
      </c>
      <c r="F64" s="3">
        <v>142.4</v>
      </c>
      <c r="G64" s="29">
        <f>E64/54</f>
        <v>27.574074074074073</v>
      </c>
      <c r="H64" s="3">
        <v>89</v>
      </c>
      <c r="I64" s="3">
        <v>118</v>
      </c>
      <c r="J64" s="3">
        <v>1046</v>
      </c>
      <c r="K64" s="3">
        <v>374</v>
      </c>
      <c r="L64" s="3">
        <v>0</v>
      </c>
      <c r="M64" s="3">
        <v>7</v>
      </c>
      <c r="N64" s="3">
        <v>67</v>
      </c>
      <c r="O64" s="3">
        <v>3</v>
      </c>
      <c r="P64" s="3">
        <v>0</v>
      </c>
      <c r="Q64" s="3">
        <v>5.2</v>
      </c>
      <c r="R64" s="3">
        <v>7.9</v>
      </c>
      <c r="S64" s="29">
        <f t="shared" si="0"/>
        <v>24.94</v>
      </c>
      <c r="T64" s="3">
        <v>1671</v>
      </c>
      <c r="U64" s="3">
        <v>46</v>
      </c>
      <c r="V64" s="3">
        <v>141</v>
      </c>
      <c r="W64" s="3">
        <v>396</v>
      </c>
      <c r="X64" s="3">
        <v>0</v>
      </c>
      <c r="Y64" s="3">
        <v>27</v>
      </c>
      <c r="Z64" s="9" t="s">
        <v>906</v>
      </c>
      <c r="AA64" s="3">
        <v>0.75</v>
      </c>
    </row>
    <row r="65" spans="1:27" x14ac:dyDescent="0.3">
      <c r="A65" s="4" t="s">
        <v>1005</v>
      </c>
      <c r="B65" s="3" t="s">
        <v>4</v>
      </c>
      <c r="C65" s="3" t="s">
        <v>974</v>
      </c>
      <c r="D65" s="3" t="s">
        <v>1007</v>
      </c>
      <c r="E65" s="3">
        <v>1504</v>
      </c>
      <c r="F65" s="3">
        <v>119</v>
      </c>
      <c r="G65" s="29">
        <f>E65/77</f>
        <v>19.532467532467532</v>
      </c>
      <c r="H65" s="3">
        <v>61</v>
      </c>
      <c r="I65" s="3">
        <v>132</v>
      </c>
      <c r="J65" s="3">
        <v>1264</v>
      </c>
      <c r="K65" s="3">
        <v>512</v>
      </c>
      <c r="L65" s="3">
        <v>0</v>
      </c>
      <c r="M65" s="3">
        <v>6</v>
      </c>
      <c r="N65" s="3">
        <v>72</v>
      </c>
      <c r="O65" s="3">
        <v>5</v>
      </c>
      <c r="P65" s="3">
        <v>0</v>
      </c>
      <c r="Q65" s="3">
        <v>4.4000000000000004</v>
      </c>
      <c r="R65" s="3">
        <v>7.7</v>
      </c>
      <c r="S65" s="29">
        <f t="shared" si="0"/>
        <v>29.25</v>
      </c>
      <c r="T65" s="3">
        <v>2106</v>
      </c>
      <c r="U65" s="3">
        <v>109</v>
      </c>
      <c r="V65" s="3">
        <v>157</v>
      </c>
      <c r="W65" s="3">
        <v>654</v>
      </c>
      <c r="X65" s="3">
        <v>3</v>
      </c>
      <c r="Y65" s="3">
        <v>28</v>
      </c>
      <c r="Z65" s="9" t="s">
        <v>906</v>
      </c>
      <c r="AA65" s="3">
        <v>0</v>
      </c>
    </row>
    <row r="66" spans="1:27" x14ac:dyDescent="0.3">
      <c r="A66" s="4" t="s">
        <v>1006</v>
      </c>
      <c r="B66" s="3" t="s">
        <v>4</v>
      </c>
      <c r="C66" s="3" t="s">
        <v>974</v>
      </c>
      <c r="D66" s="3" t="s">
        <v>1007</v>
      </c>
      <c r="E66" s="3">
        <v>673</v>
      </c>
      <c r="F66" s="3">
        <v>124.4</v>
      </c>
      <c r="G66" s="29">
        <f>E66/31</f>
        <v>21.70967741935484</v>
      </c>
      <c r="H66" s="3">
        <v>18</v>
      </c>
      <c r="I66" s="3">
        <v>63</v>
      </c>
      <c r="J66" s="3">
        <v>541</v>
      </c>
      <c r="K66" s="3">
        <v>181</v>
      </c>
      <c r="L66" s="3">
        <v>0</v>
      </c>
      <c r="M66" s="3">
        <v>2</v>
      </c>
      <c r="N66" s="3">
        <v>40</v>
      </c>
      <c r="O66" s="3">
        <v>0</v>
      </c>
      <c r="P66" s="3">
        <v>0</v>
      </c>
      <c r="Q66" s="3">
        <v>3.5</v>
      </c>
      <c r="R66" s="3">
        <v>7.7</v>
      </c>
      <c r="S66" s="29">
        <f t="shared" si="0"/>
        <v>36.729999999999997</v>
      </c>
      <c r="T66" s="3">
        <v>1469</v>
      </c>
      <c r="U66" s="3">
        <v>67</v>
      </c>
      <c r="V66" s="3">
        <v>97</v>
      </c>
      <c r="W66" s="3">
        <v>391</v>
      </c>
      <c r="X66" s="3">
        <v>1</v>
      </c>
      <c r="Y66" s="3">
        <v>38</v>
      </c>
      <c r="Z66" s="9" t="s">
        <v>906</v>
      </c>
      <c r="AA66" s="3">
        <v>0</v>
      </c>
    </row>
    <row r="67" spans="1:27" x14ac:dyDescent="0.3">
      <c r="A67" s="4" t="s">
        <v>1020</v>
      </c>
      <c r="B67" s="3" t="s">
        <v>4</v>
      </c>
      <c r="C67" s="3" t="s">
        <v>578</v>
      </c>
      <c r="D67" s="3" t="s">
        <v>1007</v>
      </c>
      <c r="E67" s="3">
        <v>846</v>
      </c>
      <c r="F67" s="3">
        <v>138.19999999999999</v>
      </c>
      <c r="G67" s="29">
        <f>E67/33</f>
        <v>25.636363636363637</v>
      </c>
      <c r="H67" s="3">
        <v>53</v>
      </c>
      <c r="I67" s="3">
        <v>53</v>
      </c>
      <c r="J67" s="3">
        <v>612</v>
      </c>
      <c r="K67" s="3">
        <v>235</v>
      </c>
      <c r="L67" s="3">
        <v>0</v>
      </c>
      <c r="M67" s="3">
        <v>5</v>
      </c>
      <c r="N67" s="3">
        <v>6</v>
      </c>
      <c r="O67" s="3">
        <v>1</v>
      </c>
      <c r="P67" s="3">
        <v>0</v>
      </c>
      <c r="Q67" s="3">
        <v>4.3</v>
      </c>
      <c r="R67" s="3">
        <v>6.9</v>
      </c>
      <c r="S67" s="29">
        <f t="shared" si="0"/>
        <v>26.67</v>
      </c>
      <c r="T67" s="3">
        <v>160</v>
      </c>
      <c r="U67" s="3">
        <v>7</v>
      </c>
      <c r="V67" s="3">
        <v>8</v>
      </c>
      <c r="W67" s="3">
        <v>49</v>
      </c>
      <c r="X67" s="3">
        <v>0</v>
      </c>
      <c r="Y67" s="3">
        <v>22</v>
      </c>
      <c r="Z67" s="9" t="s">
        <v>906</v>
      </c>
      <c r="AA67" s="3">
        <v>0.03</v>
      </c>
    </row>
    <row r="68" spans="1:27" x14ac:dyDescent="0.3">
      <c r="A68" s="4" t="s">
        <v>1008</v>
      </c>
      <c r="B68" s="3" t="s">
        <v>4</v>
      </c>
      <c r="C68" s="3" t="s">
        <v>578</v>
      </c>
      <c r="D68" s="3" t="s">
        <v>942</v>
      </c>
      <c r="E68" s="3">
        <v>923</v>
      </c>
      <c r="F68" s="3">
        <v>136.9</v>
      </c>
      <c r="G68" s="3">
        <f>E68/25</f>
        <v>36.92</v>
      </c>
      <c r="H68" s="3">
        <v>36</v>
      </c>
      <c r="I68" s="3">
        <v>67</v>
      </c>
      <c r="J68" s="3">
        <v>674</v>
      </c>
      <c r="K68" s="3">
        <v>185</v>
      </c>
      <c r="L68" s="3">
        <v>0</v>
      </c>
      <c r="M68" s="3">
        <v>5</v>
      </c>
      <c r="N68" s="3">
        <v>12</v>
      </c>
      <c r="O68" s="3">
        <v>0</v>
      </c>
      <c r="P68" s="3">
        <v>0</v>
      </c>
      <c r="Q68" s="3">
        <v>6.3</v>
      </c>
      <c r="R68" s="3">
        <v>11.1</v>
      </c>
      <c r="S68" s="29">
        <f t="shared" si="0"/>
        <v>29.67</v>
      </c>
      <c r="T68" s="3">
        <v>356</v>
      </c>
      <c r="U68" s="3">
        <v>16</v>
      </c>
      <c r="V68" s="3">
        <v>30</v>
      </c>
      <c r="W68" s="3">
        <v>43</v>
      </c>
      <c r="X68" s="3">
        <v>0</v>
      </c>
      <c r="Y68" s="3">
        <v>26</v>
      </c>
      <c r="Z68" s="9" t="s">
        <v>908</v>
      </c>
      <c r="AA68" s="3">
        <v>0.69</v>
      </c>
    </row>
    <row r="69" spans="1:27" x14ac:dyDescent="0.3">
      <c r="A69" s="4" t="s">
        <v>573</v>
      </c>
      <c r="B69" s="3" t="s">
        <v>4</v>
      </c>
      <c r="C69" s="3" t="s">
        <v>578</v>
      </c>
      <c r="D69" s="3" t="s">
        <v>942</v>
      </c>
      <c r="E69" s="3">
        <v>1488</v>
      </c>
      <c r="F69" s="3">
        <v>134.19999999999999</v>
      </c>
      <c r="G69" s="29">
        <f>E69/44</f>
        <v>33.81818181818182</v>
      </c>
      <c r="H69" s="3">
        <v>90</v>
      </c>
      <c r="I69" s="3">
        <v>84</v>
      </c>
      <c r="J69" s="3">
        <v>1109</v>
      </c>
      <c r="K69" s="3">
        <v>299</v>
      </c>
      <c r="L69" s="3">
        <v>0</v>
      </c>
      <c r="M69" s="3">
        <v>6</v>
      </c>
      <c r="N69" s="3">
        <v>16</v>
      </c>
      <c r="O69" s="3">
        <v>0</v>
      </c>
      <c r="P69" s="3">
        <v>0</v>
      </c>
      <c r="Q69" s="3">
        <v>6</v>
      </c>
      <c r="R69" s="3">
        <v>8.6999999999999993</v>
      </c>
      <c r="S69" s="29">
        <f t="shared" si="0"/>
        <v>24.13</v>
      </c>
      <c r="T69" s="3">
        <v>386</v>
      </c>
      <c r="U69" s="3">
        <v>10</v>
      </c>
      <c r="V69" s="3">
        <v>29</v>
      </c>
      <c r="W69" s="3">
        <v>72</v>
      </c>
      <c r="X69" s="3">
        <v>0</v>
      </c>
      <c r="Y69" s="3">
        <v>35</v>
      </c>
      <c r="Z69" s="9" t="s">
        <v>906</v>
      </c>
      <c r="AA69" s="3">
        <v>0.69</v>
      </c>
    </row>
    <row r="70" spans="1:27" x14ac:dyDescent="0.3">
      <c r="A70" s="4" t="s">
        <v>551</v>
      </c>
      <c r="B70" s="3" t="s">
        <v>4</v>
      </c>
      <c r="C70" s="3" t="s">
        <v>557</v>
      </c>
      <c r="D70" s="3" t="s">
        <v>942</v>
      </c>
      <c r="E70" s="3">
        <v>203</v>
      </c>
      <c r="F70" s="3">
        <v>120.1</v>
      </c>
      <c r="G70" s="29">
        <f>E70/12</f>
        <v>16.916666666666668</v>
      </c>
      <c r="H70" s="3">
        <v>8</v>
      </c>
      <c r="I70" s="3">
        <v>17</v>
      </c>
      <c r="J70" s="3">
        <v>169</v>
      </c>
      <c r="K70" s="3">
        <v>53</v>
      </c>
      <c r="L70" s="3">
        <v>0</v>
      </c>
      <c r="M70" s="3">
        <v>0</v>
      </c>
      <c r="N70" s="3">
        <v>15</v>
      </c>
      <c r="O70" s="3">
        <v>1</v>
      </c>
      <c r="P70" s="3">
        <v>0</v>
      </c>
      <c r="Q70" s="3">
        <v>5.6</v>
      </c>
      <c r="R70" s="3">
        <v>8</v>
      </c>
      <c r="S70" s="29">
        <f t="shared" si="0"/>
        <v>24.07</v>
      </c>
      <c r="T70" s="3">
        <v>361</v>
      </c>
      <c r="U70" s="3">
        <v>9</v>
      </c>
      <c r="V70" s="3">
        <v>31</v>
      </c>
      <c r="W70" s="3">
        <v>87</v>
      </c>
      <c r="X70" s="3">
        <v>0</v>
      </c>
      <c r="Y70" s="3">
        <v>26</v>
      </c>
      <c r="Z70" s="9" t="s">
        <v>906</v>
      </c>
      <c r="AA70" s="3">
        <v>0</v>
      </c>
    </row>
    <row r="71" spans="1:27" x14ac:dyDescent="0.3">
      <c r="A71" s="4" t="s">
        <v>552</v>
      </c>
      <c r="B71" s="3" t="s">
        <v>4</v>
      </c>
      <c r="C71" s="3" t="s">
        <v>557</v>
      </c>
      <c r="D71" s="3" t="s">
        <v>942</v>
      </c>
      <c r="E71" s="3">
        <v>213</v>
      </c>
      <c r="F71" s="3">
        <v>135.69999999999999</v>
      </c>
      <c r="G71" s="3">
        <f>E71/10</f>
        <v>21.3</v>
      </c>
      <c r="H71" s="3">
        <v>10</v>
      </c>
      <c r="I71" s="3">
        <v>21</v>
      </c>
      <c r="J71" s="3">
        <v>157</v>
      </c>
      <c r="K71" s="3">
        <v>65</v>
      </c>
      <c r="L71" s="3">
        <v>0</v>
      </c>
      <c r="M71" s="3">
        <v>2</v>
      </c>
      <c r="N71" s="3">
        <v>7</v>
      </c>
      <c r="O71" s="3">
        <v>0</v>
      </c>
      <c r="P71" s="3">
        <v>0</v>
      </c>
      <c r="Q71" s="3">
        <v>5.0999999999999996</v>
      </c>
      <c r="R71" s="3">
        <v>8.6999999999999993</v>
      </c>
      <c r="S71" s="29">
        <f t="shared" si="0"/>
        <v>28.71</v>
      </c>
      <c r="T71" s="3">
        <v>201</v>
      </c>
      <c r="U71" s="3">
        <v>10</v>
      </c>
      <c r="V71" s="3">
        <v>12</v>
      </c>
      <c r="W71" s="3">
        <v>43</v>
      </c>
      <c r="X71" s="3">
        <v>0</v>
      </c>
      <c r="Y71" s="3">
        <v>28</v>
      </c>
      <c r="Z71" s="9" t="s">
        <v>906</v>
      </c>
      <c r="AA71" s="3">
        <v>0</v>
      </c>
    </row>
    <row r="72" spans="1:27" x14ac:dyDescent="0.3">
      <c r="A72" s="4" t="s">
        <v>561</v>
      </c>
      <c r="B72" s="3" t="s">
        <v>4</v>
      </c>
      <c r="C72" s="3" t="s">
        <v>568</v>
      </c>
      <c r="D72" s="3" t="s">
        <v>942</v>
      </c>
      <c r="E72" s="3">
        <v>833</v>
      </c>
      <c r="F72" s="3">
        <v>109.3</v>
      </c>
      <c r="G72" s="29">
        <f>E72/27</f>
        <v>30.851851851851851</v>
      </c>
      <c r="H72" s="3">
        <v>24</v>
      </c>
      <c r="I72" s="3">
        <v>62</v>
      </c>
      <c r="J72" s="3">
        <v>762</v>
      </c>
      <c r="K72" s="3">
        <v>299</v>
      </c>
      <c r="L72" s="3">
        <v>0</v>
      </c>
      <c r="M72" s="3">
        <v>5</v>
      </c>
      <c r="N72" s="3">
        <v>38</v>
      </c>
      <c r="O72" s="3">
        <v>2</v>
      </c>
      <c r="P72" s="3">
        <v>0</v>
      </c>
      <c r="Q72" s="3">
        <v>6.6</v>
      </c>
      <c r="R72" s="3">
        <v>8.3000000000000007</v>
      </c>
      <c r="S72" s="29">
        <f t="shared" si="0"/>
        <v>20.95</v>
      </c>
      <c r="T72" s="3">
        <v>796</v>
      </c>
      <c r="U72" s="3">
        <v>23</v>
      </c>
      <c r="V72" s="3">
        <v>68</v>
      </c>
      <c r="W72" s="3">
        <v>206</v>
      </c>
      <c r="X72" s="3">
        <v>1</v>
      </c>
      <c r="Y72" s="3">
        <v>26</v>
      </c>
      <c r="Z72" s="9" t="s">
        <v>906</v>
      </c>
      <c r="AA72" s="3">
        <v>0</v>
      </c>
    </row>
    <row r="73" spans="1:27" x14ac:dyDescent="0.3">
      <c r="A73" s="4" t="s">
        <v>562</v>
      </c>
      <c r="B73" s="3" t="s">
        <v>4</v>
      </c>
      <c r="C73" s="3" t="s">
        <v>568</v>
      </c>
      <c r="D73" s="3" t="s">
        <v>1007</v>
      </c>
      <c r="E73" s="3">
        <v>2914</v>
      </c>
      <c r="F73" s="3">
        <v>128.5</v>
      </c>
      <c r="G73" s="29">
        <f>E73/92</f>
        <v>31.673913043478262</v>
      </c>
      <c r="H73" s="3">
        <v>75</v>
      </c>
      <c r="I73" s="3">
        <v>251</v>
      </c>
      <c r="J73" s="3">
        <v>2268</v>
      </c>
      <c r="K73" s="3">
        <v>579</v>
      </c>
      <c r="L73" s="3">
        <v>0</v>
      </c>
      <c r="M73" s="3">
        <v>19</v>
      </c>
      <c r="N73" s="3">
        <v>58</v>
      </c>
      <c r="O73" s="3">
        <v>5</v>
      </c>
      <c r="P73" s="3">
        <v>0</v>
      </c>
      <c r="Q73" s="3">
        <v>4.5</v>
      </c>
      <c r="R73" s="3">
        <v>7.8</v>
      </c>
      <c r="S73" s="29">
        <f t="shared" si="0"/>
        <v>28.64</v>
      </c>
      <c r="T73" s="3">
        <v>1661</v>
      </c>
      <c r="U73" s="3">
        <v>49</v>
      </c>
      <c r="V73" s="3">
        <v>114</v>
      </c>
      <c r="W73" s="3">
        <v>367</v>
      </c>
      <c r="X73" s="3">
        <v>0</v>
      </c>
      <c r="Y73" s="3">
        <v>34</v>
      </c>
      <c r="Z73" s="9" t="s">
        <v>906</v>
      </c>
      <c r="AA73" s="3">
        <v>0</v>
      </c>
    </row>
    <row r="74" spans="1:27" x14ac:dyDescent="0.3">
      <c r="A74" s="4" t="s">
        <v>630</v>
      </c>
      <c r="B74" s="3" t="s">
        <v>4</v>
      </c>
      <c r="C74" s="3" t="s">
        <v>568</v>
      </c>
      <c r="D74" s="3" t="s">
        <v>942</v>
      </c>
      <c r="E74" s="3">
        <v>965</v>
      </c>
      <c r="F74" s="3">
        <v>130.1</v>
      </c>
      <c r="G74" s="29">
        <f>E74/45</f>
        <v>21.444444444444443</v>
      </c>
      <c r="H74" s="3">
        <v>41</v>
      </c>
      <c r="I74" s="3">
        <v>71</v>
      </c>
      <c r="J74" s="3">
        <v>742</v>
      </c>
      <c r="K74" s="3">
        <v>261</v>
      </c>
      <c r="L74" s="3">
        <v>0</v>
      </c>
      <c r="M74" s="3">
        <v>2</v>
      </c>
      <c r="N74" s="3">
        <v>148</v>
      </c>
      <c r="O74" s="3">
        <v>18</v>
      </c>
      <c r="P74" s="3">
        <v>0</v>
      </c>
      <c r="Q74" s="3">
        <v>5.9</v>
      </c>
      <c r="R74" s="3">
        <v>8.4</v>
      </c>
      <c r="S74" s="29">
        <f t="shared" si="0"/>
        <v>23.66</v>
      </c>
      <c r="T74" s="3">
        <v>3502</v>
      </c>
      <c r="U74" s="3">
        <v>113</v>
      </c>
      <c r="V74" s="3">
        <v>345</v>
      </c>
      <c r="W74" s="3">
        <v>1004</v>
      </c>
      <c r="X74" s="3">
        <v>4</v>
      </c>
      <c r="Y74" s="3">
        <v>35</v>
      </c>
      <c r="Z74" s="9" t="s">
        <v>906</v>
      </c>
      <c r="AA74" s="3">
        <v>0</v>
      </c>
    </row>
    <row r="75" spans="1:27" x14ac:dyDescent="0.3">
      <c r="A75" s="4" t="s">
        <v>1009</v>
      </c>
      <c r="B75" s="3" t="s">
        <v>4</v>
      </c>
      <c r="C75" s="3" t="s">
        <v>568</v>
      </c>
      <c r="D75" s="3" t="s">
        <v>1007</v>
      </c>
      <c r="E75" s="3">
        <v>84</v>
      </c>
      <c r="F75" s="3">
        <v>115.1</v>
      </c>
      <c r="G75" s="3">
        <f>E75/4</f>
        <v>21</v>
      </c>
      <c r="H75" s="3">
        <v>2</v>
      </c>
      <c r="I75" s="3">
        <v>4</v>
      </c>
      <c r="J75" s="3">
        <v>73</v>
      </c>
      <c r="K75" s="3">
        <v>18</v>
      </c>
      <c r="L75" s="3">
        <v>0</v>
      </c>
      <c r="M75" s="3">
        <v>0</v>
      </c>
      <c r="N75" s="3">
        <v>3</v>
      </c>
      <c r="O75" s="3">
        <v>0</v>
      </c>
      <c r="P75" s="3">
        <v>0</v>
      </c>
      <c r="Q75" s="3">
        <v>4.2</v>
      </c>
      <c r="R75" s="3">
        <v>6.6</v>
      </c>
      <c r="S75" s="29">
        <f t="shared" si="0"/>
        <v>26.33</v>
      </c>
      <c r="T75" s="3">
        <v>79</v>
      </c>
      <c r="U75" s="3">
        <v>2</v>
      </c>
      <c r="V75" s="3">
        <v>4</v>
      </c>
      <c r="W75" s="3">
        <v>18</v>
      </c>
      <c r="X75" s="3">
        <v>0</v>
      </c>
      <c r="Y75" s="3">
        <v>28</v>
      </c>
      <c r="Z75" s="9" t="s">
        <v>906</v>
      </c>
      <c r="AA75" s="3">
        <v>0</v>
      </c>
    </row>
  </sheetData>
  <autoFilter ref="A1:Z75" xr:uid="{AA247A48-B6AB-4A7F-BDE3-6C7E02A6D8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Player_Names</vt:lpstr>
      <vt:lpstr>Batsmen</vt:lpstr>
      <vt:lpstr>Bowlers</vt:lpstr>
      <vt:lpstr>Wicketkeepers</vt:lpstr>
      <vt:lpstr>All Rounders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 Ray</dc:creator>
  <cp:lastModifiedBy>Parthib Ray</cp:lastModifiedBy>
  <dcterms:created xsi:type="dcterms:W3CDTF">2026-02-19T19:10:06Z</dcterms:created>
  <dcterms:modified xsi:type="dcterms:W3CDTF">2026-03-06T06:22:42Z</dcterms:modified>
</cp:coreProperties>
</file>